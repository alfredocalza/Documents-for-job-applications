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827" codeName="{2E6947BB-A706-504E-29CB-9DD9B7763434}"/>
  <workbookPr codeName="ThisWorkbook" defaultThemeVersion="166925"/>
  <mc:AlternateContent xmlns:mc="http://schemas.openxmlformats.org/markup-compatibility/2006">
    <mc:Choice Requires="x15">
      <x15ac:absPath xmlns:x15ac="http://schemas.microsoft.com/office/spreadsheetml/2010/11/ac" url="C:\Users\Alfredo J Calzadilla\Documents\"/>
    </mc:Choice>
  </mc:AlternateContent>
  <xr:revisionPtr revIDLastSave="0" documentId="13_ncr:1_{BC924D6A-04DA-4CFF-AE35-1CDC8AEB8CF8}" xr6:coauthVersionLast="45" xr6:coauthVersionMax="45" xr10:uidLastSave="{00000000-0000-0000-0000-000000000000}"/>
  <bookViews>
    <workbookView xWindow="-120" yWindow="-120" windowWidth="20730" windowHeight="11160" xr2:uid="{3CAA4E38-0402-4FE4-88C7-34715076D05A}"/>
  </bookViews>
  <sheets>
    <sheet name="Business Case Description" sheetId="1" r:id="rId1"/>
    <sheet name="Results" sheetId="2" r:id="rId2"/>
    <sheet name="Financial Pro Forma" sheetId="3" r:id="rId3"/>
    <sheet name="Exhibit 1 - Gaussian dist." sheetId="4" r:id="rId4"/>
    <sheet name="Exhibit 2 - Logistic dist." sheetId="5" r:id="rId5"/>
  </sheets>
  <functionGroups builtInGroupCount="19"/>
  <definedNames>
    <definedName name="Chart_Category">'Financial Pro Forma'!$A$1</definedName>
    <definedName name="End_Date">INDEX(Monthly_Dates,MATCH('Financial Pro Forma'!$V$103,'Financial Pro Forma'!$X$104:$BS$104,0))</definedName>
    <definedName name="Gaussian_Area">'Financial Pro Forma'!$O$17</definedName>
    <definedName name="Gaussian_End">'Financial Pro Forma'!$S$17</definedName>
    <definedName name="Gaussian_Mean">'Financial Pro Forma'!$K$17</definedName>
    <definedName name="Gaussian_Start">'Financial Pro Forma'!$Q$17</definedName>
    <definedName name="Gaussian_Tot_Costs">'Financial Pro Forma'!$U$17</definedName>
    <definedName name="GL_Code">'Financial Pro Forma'!$B$1</definedName>
    <definedName name="GL_Description">'Financial Pro Forma'!$G$4</definedName>
    <definedName name="Monthly_Dates">'Financial Pro Forma'!$X$4:$BS$4</definedName>
    <definedName name="_xlnm.Print_Area" localSheetId="0">'Business Case Description'!$B$1:$O$47</definedName>
    <definedName name="_xlnm.Print_Area" localSheetId="2">'Financial Pro Forma'!$G$1:$AZ$105</definedName>
    <definedName name="_xlnm.Print_Area" localSheetId="1">Results!$B$1:$L$16</definedName>
    <definedName name="Standard_Dev">'Financial Pro Forma'!$M$17</definedName>
    <definedName name="Start_Date">'Financial Pro Forma'!$X$4</definedName>
    <definedName name="Unlevered_End_Date">INDEX(Monthly_Dates,MATCH('Financial Pro Forma'!$V$70,'Financial Pro Forma'!$X$71:$BS$71,0))</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2" i="3" l="1"/>
  <c r="B2" i="2"/>
  <c r="C4" i="5" l="1"/>
  <c r="B4" i="5" s="1"/>
  <c r="D4" i="5" s="1"/>
  <c r="C4" i="4"/>
  <c r="C5" i="4" s="1"/>
  <c r="D5" i="4" s="1"/>
  <c r="G104" i="3"/>
  <c r="U100" i="3"/>
  <c r="G96" i="3"/>
  <c r="G93" i="3"/>
  <c r="V92" i="3"/>
  <c r="G91" i="3"/>
  <c r="V90" i="3"/>
  <c r="G89" i="3"/>
  <c r="G86" i="3"/>
  <c r="V85" i="3"/>
  <c r="G85" i="3"/>
  <c r="G84" i="3"/>
  <c r="G79" i="3"/>
  <c r="U75" i="3"/>
  <c r="U76" i="3" s="1"/>
  <c r="G71" i="3"/>
  <c r="G69" i="3"/>
  <c r="U68" i="3"/>
  <c r="G66" i="3"/>
  <c r="G65" i="3"/>
  <c r="G64" i="3"/>
  <c r="G63" i="3"/>
  <c r="G62" i="3"/>
  <c r="G61" i="3"/>
  <c r="G58" i="3"/>
  <c r="G57" i="3"/>
  <c r="G54" i="3"/>
  <c r="G53" i="3"/>
  <c r="G52" i="3"/>
  <c r="G51" i="3"/>
  <c r="G50" i="3"/>
  <c r="G49" i="3"/>
  <c r="G44" i="3"/>
  <c r="G41" i="3"/>
  <c r="G38" i="3"/>
  <c r="Q37" i="3"/>
  <c r="S37" i="3" s="1"/>
  <c r="U9" i="3" s="1"/>
  <c r="C37" i="3"/>
  <c r="G34" i="3"/>
  <c r="Q33" i="3"/>
  <c r="G28" i="3"/>
  <c r="Q26" i="3"/>
  <c r="X26" i="3" s="1"/>
  <c r="G22" i="3"/>
  <c r="Q21" i="3"/>
  <c r="X21" i="3" s="1"/>
  <c r="G18" i="3"/>
  <c r="Q17" i="3"/>
  <c r="G12" i="3"/>
  <c r="G10" i="3"/>
  <c r="T9" i="3"/>
  <c r="Y4" i="3"/>
  <c r="Z4" i="3" l="1"/>
  <c r="Z37" i="3" s="1"/>
  <c r="Z38" i="3" s="1"/>
  <c r="D4" i="4"/>
  <c r="B4" i="4" s="1"/>
  <c r="B5" i="4" s="1"/>
  <c r="A5" i="4" s="1"/>
  <c r="C5" i="5"/>
  <c r="S21" i="3"/>
  <c r="Y21" i="3" s="1"/>
  <c r="Y50" i="3" s="1"/>
  <c r="C6" i="4"/>
  <c r="X62" i="3"/>
  <c r="X50" i="3"/>
  <c r="X22" i="3"/>
  <c r="U84" i="3"/>
  <c r="Q31" i="3"/>
  <c r="Q25" i="3"/>
  <c r="Q32" i="3"/>
  <c r="S17" i="3"/>
  <c r="Y17" i="3" s="1"/>
  <c r="Q27" i="3"/>
  <c r="Y100" i="3"/>
  <c r="Y68" i="3"/>
  <c r="Y75" i="3"/>
  <c r="Y37" i="3"/>
  <c r="Y38" i="3" s="1"/>
  <c r="Q84" i="3"/>
  <c r="U89" i="3" s="1"/>
  <c r="S33" i="3"/>
  <c r="X33" i="3" s="1"/>
  <c r="S32" i="3"/>
  <c r="S31" i="3"/>
  <c r="R9" i="3"/>
  <c r="X9" i="3" s="1"/>
  <c r="X37" i="3"/>
  <c r="X65" i="3" s="1"/>
  <c r="U101" i="3"/>
  <c r="Z68" i="3" l="1"/>
  <c r="Z100" i="3"/>
  <c r="AA4" i="3"/>
  <c r="AA89" i="3" s="1"/>
  <c r="X17" i="3"/>
  <c r="Y33" i="3"/>
  <c r="Z17" i="3"/>
  <c r="Z75" i="3"/>
  <c r="X31" i="3"/>
  <c r="Z89" i="3"/>
  <c r="AA9" i="3"/>
  <c r="AA57" i="3" s="1"/>
  <c r="AA58" i="3" s="1"/>
  <c r="Z53" i="3"/>
  <c r="B5" i="5"/>
  <c r="D5" i="5" s="1"/>
  <c r="A5" i="5" s="1"/>
  <c r="C6" i="5"/>
  <c r="Y32" i="3"/>
  <c r="Y89" i="3"/>
  <c r="Z31" i="3"/>
  <c r="C7" i="4"/>
  <c r="D6" i="4"/>
  <c r="X57" i="3"/>
  <c r="X10" i="3"/>
  <c r="X12" i="3" s="1"/>
  <c r="Z65" i="3"/>
  <c r="K27" i="3"/>
  <c r="M27" i="3" s="1"/>
  <c r="S25" i="3"/>
  <c r="X25" i="3" s="1"/>
  <c r="S26" i="3"/>
  <c r="X32" i="3"/>
  <c r="Y31" i="3"/>
  <c r="Z32" i="3"/>
  <c r="Z84" i="3"/>
  <c r="Z86" i="3" s="1"/>
  <c r="Y65" i="3"/>
  <c r="Z9" i="3"/>
  <c r="Y22" i="3"/>
  <c r="Y9" i="3"/>
  <c r="X38" i="3"/>
  <c r="Y62" i="3"/>
  <c r="X53" i="3"/>
  <c r="Y53" i="3"/>
  <c r="Y84" i="3"/>
  <c r="Y86" i="3" s="1"/>
  <c r="S27" i="3"/>
  <c r="X84" i="3"/>
  <c r="U91" i="3"/>
  <c r="X89" i="3"/>
  <c r="Z33" i="3"/>
  <c r="AA37" i="3"/>
  <c r="AA38" i="3" s="1"/>
  <c r="Z21" i="3"/>
  <c r="AA31" i="3" l="1"/>
  <c r="AA84" i="3"/>
  <c r="AA86" i="3" s="1"/>
  <c r="AA17" i="3"/>
  <c r="AA18" i="3" s="1"/>
  <c r="AA100" i="3"/>
  <c r="AA33" i="3"/>
  <c r="AB4" i="3"/>
  <c r="AB17" i="3" s="1"/>
  <c r="AA91" i="3"/>
  <c r="AA93" i="3" s="1"/>
  <c r="AA75" i="3"/>
  <c r="AA25" i="3"/>
  <c r="AA32" i="3"/>
  <c r="X64" i="3"/>
  <c r="AA10" i="3"/>
  <c r="AA12" i="3" s="1"/>
  <c r="AA65" i="3"/>
  <c r="Z34" i="3"/>
  <c r="B6" i="5"/>
  <c r="D6" i="5" s="1"/>
  <c r="A6" i="5" s="1"/>
  <c r="C7" i="5"/>
  <c r="X34" i="3"/>
  <c r="X52" i="3"/>
  <c r="AA49" i="3"/>
  <c r="D7" i="4"/>
  <c r="C8" i="4"/>
  <c r="B6" i="4"/>
  <c r="A6" i="4" s="1"/>
  <c r="Z22" i="3"/>
  <c r="Z62" i="3"/>
  <c r="Z50" i="3"/>
  <c r="Z64" i="3"/>
  <c r="X58" i="3"/>
  <c r="X91" i="3"/>
  <c r="X93" i="3" s="1"/>
  <c r="Z91" i="3"/>
  <c r="Z93" i="3" s="1"/>
  <c r="Y91" i="3"/>
  <c r="Y93" i="3" s="1"/>
  <c r="X86" i="3"/>
  <c r="Z57" i="3"/>
  <c r="Z58" i="3" s="1"/>
  <c r="Z10" i="3"/>
  <c r="Z12" i="3" s="1"/>
  <c r="Y34" i="3"/>
  <c r="Y64" i="3"/>
  <c r="Y52" i="3"/>
  <c r="AB89" i="3"/>
  <c r="AB31" i="3"/>
  <c r="Y27" i="3"/>
  <c r="Z27" i="3"/>
  <c r="Y18" i="3"/>
  <c r="Y49" i="3"/>
  <c r="Y61" i="3"/>
  <c r="Z52" i="3"/>
  <c r="X27" i="3"/>
  <c r="X63" i="3" s="1"/>
  <c r="X61" i="3"/>
  <c r="X18" i="3"/>
  <c r="X49" i="3"/>
  <c r="AA21" i="3"/>
  <c r="AA53" i="3"/>
  <c r="Y57" i="3"/>
  <c r="Y58" i="3" s="1"/>
  <c r="Y10" i="3"/>
  <c r="Y12" i="3" s="1"/>
  <c r="Y26" i="3"/>
  <c r="Z26" i="3" s="1"/>
  <c r="AA27" i="3"/>
  <c r="Z18" i="3"/>
  <c r="Z61" i="3"/>
  <c r="Z49" i="3"/>
  <c r="Y25" i="3"/>
  <c r="Z25" i="3"/>
  <c r="AA61" i="3" l="1"/>
  <c r="AB9" i="3"/>
  <c r="AB57" i="3" s="1"/>
  <c r="AB37" i="3"/>
  <c r="AB53" i="3" s="1"/>
  <c r="AA64" i="3"/>
  <c r="AB32" i="3"/>
  <c r="AB68" i="3"/>
  <c r="AA52" i="3"/>
  <c r="AA34" i="3"/>
  <c r="AB75" i="3"/>
  <c r="AC4" i="3"/>
  <c r="AC17" i="3" s="1"/>
  <c r="AC61" i="3" s="1"/>
  <c r="AB100" i="3"/>
  <c r="AB27" i="3"/>
  <c r="AB33" i="3"/>
  <c r="AB34" i="3" s="1"/>
  <c r="AB25" i="3"/>
  <c r="C8" i="5"/>
  <c r="B7" i="5"/>
  <c r="X28" i="3"/>
  <c r="X40" i="3" s="1"/>
  <c r="X41" i="3" s="1"/>
  <c r="D8" i="4"/>
  <c r="C9" i="4"/>
  <c r="B7" i="4"/>
  <c r="A7" i="4" s="1"/>
  <c r="X66" i="3"/>
  <c r="AB18" i="3"/>
  <c r="AB84" i="3" s="1"/>
  <c r="AB21" i="3"/>
  <c r="Y28" i="3"/>
  <c r="Y40" i="3" s="1"/>
  <c r="Y63" i="3"/>
  <c r="Y66" i="3" s="1"/>
  <c r="Y51" i="3"/>
  <c r="Y54" i="3" s="1"/>
  <c r="AB61" i="3"/>
  <c r="AA26" i="3"/>
  <c r="AB26" i="3" s="1"/>
  <c r="Z28" i="3"/>
  <c r="Z40" i="3" s="1"/>
  <c r="Z51" i="3"/>
  <c r="Z54" i="3" s="1"/>
  <c r="Z63" i="3"/>
  <c r="Z66" i="3" s="1"/>
  <c r="AC91" i="3"/>
  <c r="AC31" i="3"/>
  <c r="AB49" i="3"/>
  <c r="AA22" i="3"/>
  <c r="AA62" i="3"/>
  <c r="AA50" i="3"/>
  <c r="X51" i="3"/>
  <c r="AC21" i="3" l="1"/>
  <c r="AC22" i="3" s="1"/>
  <c r="AB65" i="3"/>
  <c r="AB38" i="3"/>
  <c r="AC25" i="3"/>
  <c r="AD4" i="3"/>
  <c r="AD17" i="3" s="1"/>
  <c r="AB10" i="3"/>
  <c r="AB12" i="3" s="1"/>
  <c r="AC33" i="3"/>
  <c r="AC75" i="3"/>
  <c r="AC27" i="3"/>
  <c r="AC100" i="3"/>
  <c r="AB52" i="3"/>
  <c r="AC9" i="3"/>
  <c r="AC68" i="3"/>
  <c r="AB64" i="3"/>
  <c r="AC32" i="3"/>
  <c r="AC52" i="3" s="1"/>
  <c r="AC37" i="3"/>
  <c r="AC89" i="3"/>
  <c r="AC93" i="3" s="1"/>
  <c r="AB51" i="3"/>
  <c r="AB28" i="3"/>
  <c r="D7" i="5"/>
  <c r="A7" i="5" s="1"/>
  <c r="C9" i="5"/>
  <c r="B8" i="5"/>
  <c r="AC64" i="3"/>
  <c r="X43" i="3"/>
  <c r="X44" i="3" s="1"/>
  <c r="Y41" i="3"/>
  <c r="Z41" i="3" s="1"/>
  <c r="D9" i="4"/>
  <c r="C10" i="4"/>
  <c r="B8" i="4"/>
  <c r="A8" i="4" s="1"/>
  <c r="AB86" i="3"/>
  <c r="Z43" i="3"/>
  <c r="Z70" i="3" s="1"/>
  <c r="AA63" i="3"/>
  <c r="AA28" i="3"/>
  <c r="AA40" i="3" s="1"/>
  <c r="AA51" i="3"/>
  <c r="AA54" i="3" s="1"/>
  <c r="AC26" i="3"/>
  <c r="AC49" i="3"/>
  <c r="AC53" i="3"/>
  <c r="AC50" i="3"/>
  <c r="X54" i="3"/>
  <c r="AC57" i="3"/>
  <c r="AC58" i="3" s="1"/>
  <c r="AC10" i="3"/>
  <c r="AC12" i="3" s="1"/>
  <c r="AC18" i="3"/>
  <c r="Y43" i="3"/>
  <c r="Y70" i="3" s="1"/>
  <c r="AB22" i="3"/>
  <c r="AB62" i="3"/>
  <c r="AB50" i="3"/>
  <c r="AB58" i="3"/>
  <c r="AB63" i="3"/>
  <c r="AC34" i="3"/>
  <c r="AD89" i="3"/>
  <c r="AD37" i="3"/>
  <c r="AD33" i="3"/>
  <c r="AD32" i="3"/>
  <c r="AD31" i="3"/>
  <c r="AE4" i="3"/>
  <c r="AE17" i="3" s="1"/>
  <c r="AD27" i="3"/>
  <c r="AD9" i="3"/>
  <c r="AC62" i="3" l="1"/>
  <c r="AD25" i="3"/>
  <c r="AD21" i="3"/>
  <c r="AD22" i="3" s="1"/>
  <c r="AD91" i="3"/>
  <c r="AC38" i="3"/>
  <c r="AC65" i="3"/>
  <c r="AC28" i="3"/>
  <c r="AB54" i="3"/>
  <c r="AB40" i="3"/>
  <c r="AB43" i="3" s="1"/>
  <c r="D8" i="5"/>
  <c r="A8" i="5" s="1"/>
  <c r="C10" i="5"/>
  <c r="B9" i="5"/>
  <c r="D9" i="5" s="1"/>
  <c r="A9" i="5" s="1"/>
  <c r="Y95" i="3"/>
  <c r="Z95" i="3"/>
  <c r="AD64" i="3"/>
  <c r="C11" i="4"/>
  <c r="D10" i="4"/>
  <c r="B9" i="4"/>
  <c r="A9" i="4" s="1"/>
  <c r="AB66" i="3"/>
  <c r="Y44" i="3"/>
  <c r="Z44" i="3" s="1"/>
  <c r="AD93" i="3"/>
  <c r="AD18" i="3"/>
  <c r="AD84" i="3" s="1"/>
  <c r="AD86" i="3" s="1"/>
  <c r="AA66" i="3"/>
  <c r="AD52" i="3"/>
  <c r="AD57" i="3"/>
  <c r="AD10" i="3"/>
  <c r="AD12" i="3" s="1"/>
  <c r="AE75" i="3"/>
  <c r="AE100" i="3"/>
  <c r="AE91" i="3"/>
  <c r="AE68" i="3"/>
  <c r="AE33" i="3"/>
  <c r="AE37" i="3"/>
  <c r="AE38" i="3" s="1"/>
  <c r="AE32" i="3"/>
  <c r="AE27" i="3"/>
  <c r="AE25" i="3"/>
  <c r="AE61" i="3"/>
  <c r="AE31" i="3"/>
  <c r="AF4" i="3"/>
  <c r="AF17" i="3" s="1"/>
  <c r="AE21" i="3"/>
  <c r="AE62" i="3" s="1"/>
  <c r="AE9" i="3"/>
  <c r="AD38" i="3"/>
  <c r="AD34" i="3"/>
  <c r="AC63" i="3"/>
  <c r="AD26" i="3"/>
  <c r="AD63" i="3" s="1"/>
  <c r="AD61" i="3"/>
  <c r="AD65" i="3"/>
  <c r="AC84" i="3"/>
  <c r="AA41" i="3"/>
  <c r="AA43" i="3"/>
  <c r="AD49" i="3"/>
  <c r="AC51" i="3"/>
  <c r="AD53" i="3"/>
  <c r="AD62" i="3" l="1"/>
  <c r="AD50" i="3"/>
  <c r="AC40" i="3"/>
  <c r="AC43" i="3" s="1"/>
  <c r="AB70" i="3"/>
  <c r="AB41" i="3"/>
  <c r="AE52" i="3"/>
  <c r="C11" i="5"/>
  <c r="B10" i="5"/>
  <c r="AD28" i="3"/>
  <c r="AD40" i="3" s="1"/>
  <c r="AD43" i="3" s="1"/>
  <c r="AD51" i="3"/>
  <c r="AD54" i="3" s="1"/>
  <c r="B10" i="4"/>
  <c r="A10" i="4" s="1"/>
  <c r="D11" i="4"/>
  <c r="C12" i="4"/>
  <c r="AA44" i="3"/>
  <c r="AB44" i="3" s="1"/>
  <c r="AE49" i="3"/>
  <c r="AD58" i="3"/>
  <c r="AC86" i="3"/>
  <c r="AE57" i="3"/>
  <c r="AE58" i="3" s="1"/>
  <c r="AE10" i="3"/>
  <c r="AE12" i="3" s="1"/>
  <c r="AE53" i="3"/>
  <c r="AC54" i="3"/>
  <c r="AF91" i="3"/>
  <c r="AF100" i="3"/>
  <c r="AF75" i="3"/>
  <c r="AF68" i="3"/>
  <c r="AF32" i="3"/>
  <c r="AF89" i="3"/>
  <c r="AF25" i="3"/>
  <c r="AF49" i="3"/>
  <c r="AF37" i="3"/>
  <c r="AF38" i="3" s="1"/>
  <c r="AF33" i="3"/>
  <c r="AF31" i="3"/>
  <c r="AF27" i="3"/>
  <c r="AF21" i="3"/>
  <c r="AF22" i="3" s="1"/>
  <c r="AG4" i="3"/>
  <c r="AG17" i="3" s="1"/>
  <c r="AF9" i="3"/>
  <c r="AD66" i="3"/>
  <c r="AE34" i="3"/>
  <c r="AE64" i="3"/>
  <c r="AE89" i="3"/>
  <c r="AC66" i="3"/>
  <c r="AE26" i="3"/>
  <c r="AE63" i="3" s="1"/>
  <c r="AE22" i="3"/>
  <c r="AE18" i="3"/>
  <c r="AE65" i="3"/>
  <c r="AE50" i="3"/>
  <c r="AC44" i="3" l="1"/>
  <c r="AC41" i="3"/>
  <c r="AF93" i="3"/>
  <c r="D10" i="5"/>
  <c r="A10" i="5" s="1"/>
  <c r="B11" i="5"/>
  <c r="D11" i="5" s="1"/>
  <c r="A11" i="5" s="1"/>
  <c r="C12" i="5"/>
  <c r="AE51" i="3"/>
  <c r="AE54" i="3" s="1"/>
  <c r="AF26" i="3"/>
  <c r="AF28" i="3" s="1"/>
  <c r="AF52" i="3"/>
  <c r="AF50" i="3"/>
  <c r="AF61" i="3"/>
  <c r="D12" i="4"/>
  <c r="C13" i="4"/>
  <c r="B11" i="4"/>
  <c r="A11" i="4" s="1"/>
  <c r="AE66" i="3"/>
  <c r="AF53" i="3"/>
  <c r="AF62" i="3"/>
  <c r="AE84" i="3"/>
  <c r="AE28" i="3"/>
  <c r="AE40" i="3" s="1"/>
  <c r="AF57" i="3"/>
  <c r="AF58" i="3" s="1"/>
  <c r="AF10" i="3"/>
  <c r="AF12" i="3" s="1"/>
  <c r="AF65" i="3"/>
  <c r="AG91" i="3"/>
  <c r="AG100" i="3"/>
  <c r="AG89" i="3"/>
  <c r="AG75" i="3"/>
  <c r="AG37" i="3"/>
  <c r="AG38" i="3" s="1"/>
  <c r="AG25" i="3"/>
  <c r="AG33" i="3"/>
  <c r="AG31" i="3"/>
  <c r="AG21" i="3"/>
  <c r="AG22" i="3" s="1"/>
  <c r="AG32" i="3"/>
  <c r="AG27" i="3"/>
  <c r="AH4" i="3"/>
  <c r="AH17" i="3" s="1"/>
  <c r="AG9" i="3"/>
  <c r="AF34" i="3"/>
  <c r="AF64" i="3"/>
  <c r="AC70" i="3"/>
  <c r="AD44" i="3"/>
  <c r="AE93" i="3"/>
  <c r="AF18" i="3"/>
  <c r="AF84" i="3" s="1"/>
  <c r="AF86" i="3" s="1"/>
  <c r="AD41" i="3"/>
  <c r="AG93" i="3" l="1"/>
  <c r="AG26" i="3"/>
  <c r="AG51" i="3" s="1"/>
  <c r="AF63" i="3"/>
  <c r="AF66" i="3" s="1"/>
  <c r="AF51" i="3"/>
  <c r="AF54" i="3" s="1"/>
  <c r="AG53" i="3"/>
  <c r="AG65" i="3"/>
  <c r="C13" i="5"/>
  <c r="B12" i="5"/>
  <c r="D12" i="5" s="1"/>
  <c r="A12" i="5" s="1"/>
  <c r="AC95" i="3"/>
  <c r="D13" i="4"/>
  <c r="C14" i="4"/>
  <c r="B12" i="4"/>
  <c r="A12" i="4" s="1"/>
  <c r="AF40" i="3"/>
  <c r="AF43" i="3" s="1"/>
  <c r="AE41" i="3"/>
  <c r="AE43" i="3"/>
  <c r="AE70" i="3" s="1"/>
  <c r="AH75" i="3"/>
  <c r="AH100" i="3"/>
  <c r="AH91" i="3"/>
  <c r="AH68" i="3"/>
  <c r="AH32" i="3"/>
  <c r="AH31" i="3"/>
  <c r="AH33" i="3"/>
  <c r="AH21" i="3"/>
  <c r="AH22" i="3" s="1"/>
  <c r="AH37" i="3"/>
  <c r="AH38" i="3" s="1"/>
  <c r="AH27" i="3"/>
  <c r="AH25" i="3"/>
  <c r="AI4" i="3"/>
  <c r="AI17" i="3" s="1"/>
  <c r="AH9" i="3"/>
  <c r="AG18" i="3"/>
  <c r="AG49" i="3"/>
  <c r="AG50" i="3"/>
  <c r="AG62" i="3"/>
  <c r="AG34" i="3"/>
  <c r="AG64" i="3"/>
  <c r="AG52" i="3"/>
  <c r="AG57" i="3"/>
  <c r="AG10" i="3"/>
  <c r="AG12" i="3" s="1"/>
  <c r="AG61" i="3"/>
  <c r="AE86" i="3"/>
  <c r="AG63" i="3" l="1"/>
  <c r="AG66" i="3" s="1"/>
  <c r="AH26" i="3"/>
  <c r="AH28" i="3" s="1"/>
  <c r="AG28" i="3"/>
  <c r="AG40" i="3" s="1"/>
  <c r="AH64" i="3"/>
  <c r="C14" i="5"/>
  <c r="B13" i="5"/>
  <c r="D13" i="5" s="1"/>
  <c r="A13" i="5" s="1"/>
  <c r="AH34" i="3"/>
  <c r="AE44" i="3"/>
  <c r="AF44" i="3" s="1"/>
  <c r="B13" i="4"/>
  <c r="A13" i="4" s="1"/>
  <c r="C15" i="4"/>
  <c r="D14" i="4"/>
  <c r="AF41" i="3"/>
  <c r="AF70" i="3"/>
  <c r="AG84" i="3"/>
  <c r="AH18" i="3"/>
  <c r="AH84" i="3" s="1"/>
  <c r="AH53" i="3"/>
  <c r="AH65" i="3"/>
  <c r="AG54" i="3"/>
  <c r="AH62" i="3"/>
  <c r="AH50" i="3"/>
  <c r="AE95" i="3"/>
  <c r="AH49" i="3"/>
  <c r="AH61" i="3"/>
  <c r="AH57" i="3"/>
  <c r="AH58" i="3" s="1"/>
  <c r="AH10" i="3"/>
  <c r="AH12" i="3" s="1"/>
  <c r="AG58" i="3"/>
  <c r="AI100" i="3"/>
  <c r="AI91" i="3"/>
  <c r="AI68" i="3"/>
  <c r="AI75" i="3"/>
  <c r="AI89" i="3"/>
  <c r="AI31" i="3"/>
  <c r="AI33" i="3"/>
  <c r="AI21" i="3"/>
  <c r="AI22" i="3" s="1"/>
  <c r="AI37" i="3"/>
  <c r="AI38" i="3" s="1"/>
  <c r="AI27" i="3"/>
  <c r="AI32" i="3"/>
  <c r="AI25" i="3"/>
  <c r="AI49" i="3"/>
  <c r="AJ4" i="3"/>
  <c r="AJ17" i="3" s="1"/>
  <c r="AI9" i="3"/>
  <c r="AH52" i="3"/>
  <c r="AH63" i="3" l="1"/>
  <c r="AH66" i="3" s="1"/>
  <c r="AI26" i="3"/>
  <c r="AI28" i="3" s="1"/>
  <c r="AH51" i="3"/>
  <c r="AH54" i="3" s="1"/>
  <c r="AI93" i="3"/>
  <c r="AI65" i="3"/>
  <c r="B14" i="5"/>
  <c r="D14" i="5" s="1"/>
  <c r="A14" i="5" s="1"/>
  <c r="C15" i="5"/>
  <c r="AI34" i="3"/>
  <c r="AF95" i="3"/>
  <c r="AI61" i="3"/>
  <c r="AI52" i="3"/>
  <c r="AG41" i="3"/>
  <c r="AG43" i="3"/>
  <c r="AG44" i="3" s="1"/>
  <c r="D15" i="4"/>
  <c r="C16" i="4"/>
  <c r="B14" i="4"/>
  <c r="A14" i="4" s="1"/>
  <c r="AH40" i="3"/>
  <c r="AG86" i="3"/>
  <c r="AH89" i="3"/>
  <c r="AH93" i="3" s="1"/>
  <c r="AI18" i="3"/>
  <c r="AI84" i="3" s="1"/>
  <c r="AI86" i="3" s="1"/>
  <c r="AI53" i="3"/>
  <c r="AI62" i="3"/>
  <c r="AI50" i="3"/>
  <c r="AI57" i="3"/>
  <c r="AI58" i="3" s="1"/>
  <c r="AI10" i="3"/>
  <c r="AI12" i="3" s="1"/>
  <c r="AI64" i="3"/>
  <c r="AJ89" i="3"/>
  <c r="AJ91" i="3"/>
  <c r="AJ33" i="3"/>
  <c r="AJ37" i="3"/>
  <c r="AJ38" i="3" s="1"/>
  <c r="AJ27" i="3"/>
  <c r="AJ32" i="3"/>
  <c r="AJ31" i="3"/>
  <c r="AJ25" i="3"/>
  <c r="AK4" i="3"/>
  <c r="AK17" i="3" s="1"/>
  <c r="AJ49" i="3"/>
  <c r="AJ21" i="3"/>
  <c r="AJ22" i="3" s="1"/>
  <c r="AJ9" i="3"/>
  <c r="AH86" i="3"/>
  <c r="AJ26" i="3" l="1"/>
  <c r="AJ63" i="3" s="1"/>
  <c r="AI51" i="3"/>
  <c r="AI54" i="3" s="1"/>
  <c r="AI63" i="3"/>
  <c r="AI66" i="3" s="1"/>
  <c r="AJ53" i="3"/>
  <c r="B15" i="5"/>
  <c r="C16" i="5"/>
  <c r="AJ65" i="3"/>
  <c r="AJ34" i="3"/>
  <c r="AJ52" i="3"/>
  <c r="AH41" i="3"/>
  <c r="D16" i="4"/>
  <c r="C17" i="4"/>
  <c r="H16" i="4"/>
  <c r="B15" i="4"/>
  <c r="A15" i="4" s="1"/>
  <c r="AI40" i="3"/>
  <c r="AH43" i="3"/>
  <c r="AH70" i="3" s="1"/>
  <c r="AJ50" i="3"/>
  <c r="AJ57" i="3"/>
  <c r="AJ58" i="3" s="1"/>
  <c r="AJ10" i="3"/>
  <c r="AJ12" i="3" s="1"/>
  <c r="AJ62" i="3"/>
  <c r="AJ18" i="3"/>
  <c r="AJ84" i="3" s="1"/>
  <c r="AJ86" i="3" s="1"/>
  <c r="AJ64" i="3"/>
  <c r="AK100" i="3"/>
  <c r="AK91" i="3"/>
  <c r="AK68" i="3"/>
  <c r="AK75" i="3"/>
  <c r="AK31" i="3"/>
  <c r="AK33" i="3"/>
  <c r="AK26" i="3"/>
  <c r="AK37" i="3"/>
  <c r="AK38" i="3" s="1"/>
  <c r="AK27" i="3"/>
  <c r="AK32" i="3"/>
  <c r="AK25" i="3"/>
  <c r="AK9" i="3"/>
  <c r="AL4" i="3"/>
  <c r="AL17" i="3" s="1"/>
  <c r="AK49" i="3"/>
  <c r="AK21" i="3"/>
  <c r="AK22" i="3" s="1"/>
  <c r="AJ61" i="3"/>
  <c r="AJ93" i="3"/>
  <c r="AJ51" i="3" l="1"/>
  <c r="AJ54" i="3" s="1"/>
  <c r="AJ28" i="3"/>
  <c r="AK65" i="3"/>
  <c r="AK28" i="3"/>
  <c r="H16" i="5"/>
  <c r="C17" i="5"/>
  <c r="B16" i="5"/>
  <c r="AK34" i="3"/>
  <c r="AK53" i="3"/>
  <c r="D15" i="5"/>
  <c r="A15" i="5" s="1"/>
  <c r="AI41" i="3"/>
  <c r="AH95" i="3"/>
  <c r="AK61" i="3"/>
  <c r="AI43" i="3"/>
  <c r="AI70" i="3" s="1"/>
  <c r="H17" i="4"/>
  <c r="D17" i="4"/>
  <c r="C18" i="4"/>
  <c r="B16" i="4"/>
  <c r="A16" i="4" s="1"/>
  <c r="AK89" i="3"/>
  <c r="AK93" i="3" s="1"/>
  <c r="AH44" i="3"/>
  <c r="AJ66" i="3"/>
  <c r="AL89" i="3"/>
  <c r="AL100" i="3"/>
  <c r="AL75" i="3"/>
  <c r="AL91" i="3"/>
  <c r="AL68" i="3"/>
  <c r="AL37" i="3"/>
  <c r="AL38" i="3" s="1"/>
  <c r="AL27" i="3"/>
  <c r="AL33" i="3"/>
  <c r="AL32" i="3"/>
  <c r="AL31" i="3"/>
  <c r="AL25" i="3"/>
  <c r="AL61" i="3"/>
  <c r="AM4" i="3"/>
  <c r="AM17" i="3" s="1"/>
  <c r="AL26" i="3"/>
  <c r="AL21" i="3"/>
  <c r="AL22" i="3" s="1"/>
  <c r="AL9" i="3"/>
  <c r="AK57" i="3"/>
  <c r="AK58" i="3" s="1"/>
  <c r="AK10" i="3"/>
  <c r="AK12" i="3" s="1"/>
  <c r="AK52" i="3"/>
  <c r="AK62" i="3"/>
  <c r="AK50" i="3"/>
  <c r="AK18" i="3"/>
  <c r="AK84" i="3" s="1"/>
  <c r="AK86" i="3" s="1"/>
  <c r="AK63" i="3"/>
  <c r="AJ40" i="3"/>
  <c r="AK51" i="3"/>
  <c r="AK64" i="3"/>
  <c r="AL53" i="3" l="1"/>
  <c r="D16" i="5"/>
  <c r="A16" i="5" s="1"/>
  <c r="AL93" i="3"/>
  <c r="H17" i="5"/>
  <c r="C18" i="5"/>
  <c r="B17" i="5"/>
  <c r="D17" i="5" s="1"/>
  <c r="A17" i="5" s="1"/>
  <c r="AJ41" i="3"/>
  <c r="AI95" i="3"/>
  <c r="AL62" i="3"/>
  <c r="AL50" i="3"/>
  <c r="AL63" i="3"/>
  <c r="AI44" i="3"/>
  <c r="D18" i="4"/>
  <c r="C19" i="4"/>
  <c r="B17" i="4"/>
  <c r="A17" i="4" s="1"/>
  <c r="AK54" i="3"/>
  <c r="AK66" i="3"/>
  <c r="AL18" i="3"/>
  <c r="AL84" i="3" s="1"/>
  <c r="AL86" i="3" s="1"/>
  <c r="AL28" i="3"/>
  <c r="AK40" i="3"/>
  <c r="AL51" i="3"/>
  <c r="AL34" i="3"/>
  <c r="AL52" i="3"/>
  <c r="AL64" i="3"/>
  <c r="AL65" i="3"/>
  <c r="AJ43" i="3"/>
  <c r="AL57" i="3"/>
  <c r="AL58" i="3" s="1"/>
  <c r="AL10" i="3"/>
  <c r="AL12" i="3" s="1"/>
  <c r="AL49" i="3"/>
  <c r="AM100" i="3"/>
  <c r="AM75" i="3"/>
  <c r="AM91" i="3"/>
  <c r="AM89" i="3"/>
  <c r="AM93" i="3" s="1"/>
  <c r="AM33" i="3"/>
  <c r="AM37" i="3"/>
  <c r="AM38" i="3" s="1"/>
  <c r="AM32" i="3"/>
  <c r="AM27" i="3"/>
  <c r="AM25" i="3"/>
  <c r="AM31" i="3"/>
  <c r="AM26" i="3"/>
  <c r="AN4" i="3"/>
  <c r="AN17" i="3" s="1"/>
  <c r="AM21" i="3"/>
  <c r="AM22" i="3" s="1"/>
  <c r="AM9" i="3"/>
  <c r="AM28" i="3" l="1"/>
  <c r="AK41" i="3"/>
  <c r="AM64" i="3"/>
  <c r="C19" i="5"/>
  <c r="B18" i="5"/>
  <c r="D18" i="5" s="1"/>
  <c r="A18" i="5" s="1"/>
  <c r="C20" i="4"/>
  <c r="D19" i="4"/>
  <c r="B18" i="4"/>
  <c r="A18" i="4" s="1"/>
  <c r="AL66" i="3"/>
  <c r="AL54" i="3"/>
  <c r="AM18" i="3"/>
  <c r="AM84" i="3" s="1"/>
  <c r="AM86" i="3" s="1"/>
  <c r="AM53" i="3"/>
  <c r="AM57" i="3"/>
  <c r="AM58" i="3" s="1"/>
  <c r="AM10" i="3"/>
  <c r="AM12" i="3" s="1"/>
  <c r="AM62" i="3"/>
  <c r="AM61" i="3"/>
  <c r="AK43" i="3"/>
  <c r="AK70" i="3" s="1"/>
  <c r="AL40" i="3"/>
  <c r="AL41" i="3" s="1"/>
  <c r="AM50" i="3"/>
  <c r="AM65" i="3"/>
  <c r="AM34" i="3"/>
  <c r="AN91" i="3"/>
  <c r="AN100" i="3"/>
  <c r="AN75" i="3"/>
  <c r="AN68" i="3"/>
  <c r="AN32" i="3"/>
  <c r="AN37" i="3"/>
  <c r="AN38" i="3" s="1"/>
  <c r="AN33" i="3"/>
  <c r="AN31" i="3"/>
  <c r="AN25" i="3"/>
  <c r="AN49" i="3"/>
  <c r="AN26" i="3"/>
  <c r="AN27" i="3"/>
  <c r="AN21" i="3"/>
  <c r="AN22" i="3" s="1"/>
  <c r="AO4" i="3"/>
  <c r="AO17" i="3" s="1"/>
  <c r="AN9" i="3"/>
  <c r="AM51" i="3"/>
  <c r="AM63" i="3"/>
  <c r="AJ44" i="3"/>
  <c r="AM52" i="3"/>
  <c r="AM49" i="3"/>
  <c r="AN52" i="3" l="1"/>
  <c r="B19" i="5"/>
  <c r="C20" i="5"/>
  <c r="AK95" i="3"/>
  <c r="AN63" i="3"/>
  <c r="AN62" i="3"/>
  <c r="AK44" i="3"/>
  <c r="B19" i="4"/>
  <c r="A19" i="4" s="1"/>
  <c r="D20" i="4"/>
  <c r="C21" i="4"/>
  <c r="AM40" i="3"/>
  <c r="AM41" i="3" s="1"/>
  <c r="AL43" i="3"/>
  <c r="AL70" i="3" s="1"/>
  <c r="AM66" i="3"/>
  <c r="AN64" i="3"/>
  <c r="AN18" i="3"/>
  <c r="AN84" i="3" s="1"/>
  <c r="AN86" i="3" s="1"/>
  <c r="AN50" i="3"/>
  <c r="AN89" i="3"/>
  <c r="AN93" i="3" s="1"/>
  <c r="AN28" i="3"/>
  <c r="AN51" i="3"/>
  <c r="AN57" i="3"/>
  <c r="AN58" i="3" s="1"/>
  <c r="AN10" i="3"/>
  <c r="AN12" i="3" s="1"/>
  <c r="AN53" i="3"/>
  <c r="AO91" i="3"/>
  <c r="AO100" i="3"/>
  <c r="AO89" i="3"/>
  <c r="AO75" i="3"/>
  <c r="AO68" i="3"/>
  <c r="AO37" i="3"/>
  <c r="AO38" i="3" s="1"/>
  <c r="AO32" i="3"/>
  <c r="AO25" i="3"/>
  <c r="AO26" i="3"/>
  <c r="AO21" i="3"/>
  <c r="AO22" i="3" s="1"/>
  <c r="AO27" i="3"/>
  <c r="AO49" i="3"/>
  <c r="AP4" i="3"/>
  <c r="AP17" i="3" s="1"/>
  <c r="AO31" i="3"/>
  <c r="AO33" i="3"/>
  <c r="AO9" i="3"/>
  <c r="AN34" i="3"/>
  <c r="AN61" i="3"/>
  <c r="AM54" i="3"/>
  <c r="AN65" i="3"/>
  <c r="AO65" i="3" l="1"/>
  <c r="B20" i="5"/>
  <c r="D20" i="5" s="1"/>
  <c r="A20" i="5" s="1"/>
  <c r="C21" i="5"/>
  <c r="D19" i="5"/>
  <c r="A19" i="5" s="1"/>
  <c r="AO28" i="3"/>
  <c r="AL95" i="3"/>
  <c r="AO50" i="3"/>
  <c r="AO63" i="3"/>
  <c r="D21" i="4"/>
  <c r="C22" i="4"/>
  <c r="B20" i="4"/>
  <c r="A20" i="4" s="1"/>
  <c r="AM43" i="3"/>
  <c r="AN54" i="3"/>
  <c r="AL44" i="3"/>
  <c r="AO34" i="3"/>
  <c r="AO62" i="3"/>
  <c r="AP89" i="3"/>
  <c r="AP91" i="3"/>
  <c r="AP32" i="3"/>
  <c r="AP31" i="3"/>
  <c r="AP25" i="3"/>
  <c r="AP26" i="3"/>
  <c r="AP21" i="3"/>
  <c r="AP22" i="3" s="1"/>
  <c r="AP27" i="3"/>
  <c r="AP33" i="3"/>
  <c r="AP37" i="3"/>
  <c r="AP38" i="3" s="1"/>
  <c r="AQ4" i="3"/>
  <c r="AQ17" i="3" s="1"/>
  <c r="AP9" i="3"/>
  <c r="AO53" i="3"/>
  <c r="AO64" i="3"/>
  <c r="AN66" i="3"/>
  <c r="AO51" i="3"/>
  <c r="AN40" i="3"/>
  <c r="AN41" i="3" s="1"/>
  <c r="AO18" i="3"/>
  <c r="AO84" i="3" s="1"/>
  <c r="AO86" i="3" s="1"/>
  <c r="AO52" i="3"/>
  <c r="AO57" i="3"/>
  <c r="AO58" i="3" s="1"/>
  <c r="AO10" i="3"/>
  <c r="AO12" i="3" s="1"/>
  <c r="AO61" i="3"/>
  <c r="AO93" i="3"/>
  <c r="AP52" i="3" l="1"/>
  <c r="AP64" i="3"/>
  <c r="C22" i="5"/>
  <c r="B21" i="5"/>
  <c r="D21" i="5" s="1"/>
  <c r="A21" i="5" s="1"/>
  <c r="AP28" i="3"/>
  <c r="AP62" i="3"/>
  <c r="AP50" i="3"/>
  <c r="AM44" i="3"/>
  <c r="D22" i="4"/>
  <c r="C23" i="4"/>
  <c r="B21" i="4"/>
  <c r="A21" i="4" s="1"/>
  <c r="AO40" i="3"/>
  <c r="AO41" i="3" s="1"/>
  <c r="AO54" i="3"/>
  <c r="AP18" i="3"/>
  <c r="AP84" i="3" s="1"/>
  <c r="AP65" i="3"/>
  <c r="AO66" i="3"/>
  <c r="AP34" i="3"/>
  <c r="AP49" i="3"/>
  <c r="AP63" i="3"/>
  <c r="AP53" i="3"/>
  <c r="AP57" i="3"/>
  <c r="AP58" i="3" s="1"/>
  <c r="AP10" i="3"/>
  <c r="AP12" i="3" s="1"/>
  <c r="AN43" i="3"/>
  <c r="AQ100" i="3"/>
  <c r="AQ68" i="3"/>
  <c r="AQ75" i="3"/>
  <c r="AQ91" i="3"/>
  <c r="AQ31" i="3"/>
  <c r="AQ26" i="3"/>
  <c r="AQ21" i="3"/>
  <c r="AQ22" i="3" s="1"/>
  <c r="AQ27" i="3"/>
  <c r="AQ33" i="3"/>
  <c r="AQ37" i="3"/>
  <c r="AQ38" i="3" s="1"/>
  <c r="AQ61" i="3"/>
  <c r="AQ32" i="3"/>
  <c r="AR4" i="3"/>
  <c r="AR17" i="3" s="1"/>
  <c r="AQ25" i="3"/>
  <c r="AQ9" i="3"/>
  <c r="AP51" i="3"/>
  <c r="AP93" i="3"/>
  <c r="AP61" i="3"/>
  <c r="AQ65" i="3" l="1"/>
  <c r="AQ28" i="3"/>
  <c r="C23" i="5"/>
  <c r="B22" i="5"/>
  <c r="D22" i="5" s="1"/>
  <c r="A22" i="5" s="1"/>
  <c r="AQ52" i="3"/>
  <c r="AQ64" i="3"/>
  <c r="AQ63" i="3"/>
  <c r="AQ50" i="3"/>
  <c r="AQ62" i="3"/>
  <c r="C24" i="4"/>
  <c r="D23" i="4"/>
  <c r="B22" i="4"/>
  <c r="A22" i="4" s="1"/>
  <c r="AO43" i="3"/>
  <c r="AO70" i="3" s="1"/>
  <c r="AP86" i="3"/>
  <c r="AQ89" i="3"/>
  <c r="AQ93" i="3" s="1"/>
  <c r="AP40" i="3"/>
  <c r="AP41" i="3" s="1"/>
  <c r="AQ18" i="3"/>
  <c r="AQ84" i="3" s="1"/>
  <c r="AQ86" i="3" s="1"/>
  <c r="AQ49" i="3"/>
  <c r="AP66" i="3"/>
  <c r="AQ53" i="3"/>
  <c r="AN70" i="3"/>
  <c r="AN44" i="3"/>
  <c r="AQ51" i="3"/>
  <c r="AQ57" i="3"/>
  <c r="AQ58" i="3" s="1"/>
  <c r="AQ10" i="3"/>
  <c r="AQ12" i="3" s="1"/>
  <c r="AR100" i="3"/>
  <c r="AR89" i="3"/>
  <c r="AR68" i="3"/>
  <c r="AR91" i="3"/>
  <c r="AR75" i="3"/>
  <c r="AR33" i="3"/>
  <c r="AR26" i="3"/>
  <c r="AR27" i="3"/>
  <c r="AR37" i="3"/>
  <c r="AR38" i="3" s="1"/>
  <c r="AR32" i="3"/>
  <c r="AR31" i="3"/>
  <c r="AR25" i="3"/>
  <c r="AR61" i="3"/>
  <c r="AR21" i="3"/>
  <c r="AR22" i="3" s="1"/>
  <c r="AS4" i="3"/>
  <c r="AS17" i="3" s="1"/>
  <c r="AR9" i="3"/>
  <c r="AQ34" i="3"/>
  <c r="AP54" i="3"/>
  <c r="B23" i="5" l="1"/>
  <c r="D23" i="5" s="1"/>
  <c r="A23" i="5" s="1"/>
  <c r="C24" i="5"/>
  <c r="AR65" i="3"/>
  <c r="AR51" i="3"/>
  <c r="AR52" i="3"/>
  <c r="AQ66" i="3"/>
  <c r="AN95" i="3"/>
  <c r="AO95" i="3"/>
  <c r="AR63" i="3"/>
  <c r="AR50" i="3"/>
  <c r="B23" i="4"/>
  <c r="A23" i="4" s="1"/>
  <c r="D24" i="4"/>
  <c r="C25" i="4"/>
  <c r="AP43" i="3"/>
  <c r="AO44" i="3"/>
  <c r="AR64" i="3"/>
  <c r="AS100" i="3"/>
  <c r="AS89" i="3"/>
  <c r="AS91" i="3"/>
  <c r="AS31" i="3"/>
  <c r="AS33" i="3"/>
  <c r="AS26" i="3"/>
  <c r="AS75" i="3"/>
  <c r="AS27" i="3"/>
  <c r="AS37" i="3"/>
  <c r="AS38" i="3" s="1"/>
  <c r="AS32" i="3"/>
  <c r="AS25" i="3"/>
  <c r="AS49" i="3"/>
  <c r="AS21" i="3"/>
  <c r="AS22" i="3" s="1"/>
  <c r="AT4" i="3"/>
  <c r="AT17" i="3" s="1"/>
  <c r="AS9" i="3"/>
  <c r="AR93" i="3"/>
  <c r="AR28" i="3"/>
  <c r="AR34" i="3"/>
  <c r="AR62" i="3"/>
  <c r="AQ54" i="3"/>
  <c r="AR18" i="3"/>
  <c r="AR84" i="3" s="1"/>
  <c r="AR86" i="3" s="1"/>
  <c r="AR49" i="3"/>
  <c r="AR57" i="3"/>
  <c r="AR58" i="3" s="1"/>
  <c r="AR10" i="3"/>
  <c r="AR12" i="3" s="1"/>
  <c r="AR53" i="3"/>
  <c r="AQ40" i="3"/>
  <c r="AQ41" i="3" s="1"/>
  <c r="AS93" i="3" l="1"/>
  <c r="AS64" i="3"/>
  <c r="AS53" i="3"/>
  <c r="B24" i="5"/>
  <c r="C25" i="5"/>
  <c r="AS28" i="3"/>
  <c r="AS52" i="3"/>
  <c r="AS50" i="3"/>
  <c r="D25" i="4"/>
  <c r="C26" i="4"/>
  <c r="B24" i="4"/>
  <c r="A24" i="4" s="1"/>
  <c r="AR66" i="3"/>
  <c r="AP44" i="3"/>
  <c r="AR54" i="3"/>
  <c r="AS57" i="3"/>
  <c r="AS58" i="3" s="1"/>
  <c r="AS10" i="3"/>
  <c r="AS12" i="3" s="1"/>
  <c r="AR40" i="3"/>
  <c r="AR41" i="3" s="1"/>
  <c r="AT100" i="3"/>
  <c r="AT91" i="3"/>
  <c r="AT68" i="3"/>
  <c r="AT75" i="3"/>
  <c r="AT37" i="3"/>
  <c r="AT38" i="3" s="1"/>
  <c r="AT26" i="3"/>
  <c r="AT27" i="3"/>
  <c r="AT33" i="3"/>
  <c r="AT32" i="3"/>
  <c r="AT25" i="3"/>
  <c r="AT31" i="3"/>
  <c r="AT21" i="3"/>
  <c r="AT22" i="3" s="1"/>
  <c r="AU4" i="3"/>
  <c r="AU17" i="3" s="1"/>
  <c r="AT9" i="3"/>
  <c r="AS63" i="3"/>
  <c r="AS51" i="3"/>
  <c r="AS61" i="3"/>
  <c r="AS34" i="3"/>
  <c r="AS65" i="3"/>
  <c r="AQ43" i="3"/>
  <c r="AQ70" i="3" s="1"/>
  <c r="AS62" i="3"/>
  <c r="AS18" i="3"/>
  <c r="AS84" i="3" s="1"/>
  <c r="AT28" i="3" l="1"/>
  <c r="B25" i="5"/>
  <c r="C26" i="5"/>
  <c r="D24" i="5"/>
  <c r="A24" i="5" s="1"/>
  <c r="AT34" i="3"/>
  <c r="AS54" i="3"/>
  <c r="AQ95" i="3"/>
  <c r="D26" i="4"/>
  <c r="C27" i="4"/>
  <c r="B25" i="4"/>
  <c r="A25" i="4" s="1"/>
  <c r="AQ44" i="3"/>
  <c r="AS86" i="3"/>
  <c r="AT89" i="3"/>
  <c r="AT93" i="3" s="1"/>
  <c r="AS66" i="3"/>
  <c r="AT18" i="3"/>
  <c r="AT84" i="3" s="1"/>
  <c r="AT86" i="3" s="1"/>
  <c r="AT51" i="3"/>
  <c r="AT64" i="3"/>
  <c r="AT62" i="3"/>
  <c r="AT65" i="3"/>
  <c r="AS40" i="3"/>
  <c r="AS41" i="3" s="1"/>
  <c r="AT52" i="3"/>
  <c r="AT57" i="3"/>
  <c r="AT58" i="3" s="1"/>
  <c r="AT10" i="3"/>
  <c r="AT12" i="3" s="1"/>
  <c r="AT49" i="3"/>
  <c r="AU91" i="3"/>
  <c r="AU75" i="3"/>
  <c r="AU100" i="3"/>
  <c r="AU89" i="3"/>
  <c r="AU68" i="3"/>
  <c r="AU33" i="3"/>
  <c r="AU37" i="3"/>
  <c r="AU38" i="3" s="1"/>
  <c r="AU32" i="3"/>
  <c r="AU27" i="3"/>
  <c r="AU25" i="3"/>
  <c r="AU61" i="3"/>
  <c r="AU31" i="3"/>
  <c r="AV4" i="3"/>
  <c r="AV17" i="3" s="1"/>
  <c r="AU21" i="3"/>
  <c r="AU22" i="3" s="1"/>
  <c r="AU26" i="3"/>
  <c r="AU9" i="3"/>
  <c r="AT61" i="3"/>
  <c r="AT53" i="3"/>
  <c r="AT50" i="3"/>
  <c r="AT63" i="3"/>
  <c r="AR43" i="3"/>
  <c r="AR70" i="3" s="1"/>
  <c r="AU28" i="3" l="1"/>
  <c r="AU65" i="3"/>
  <c r="C27" i="5"/>
  <c r="B26" i="5"/>
  <c r="D26" i="5" s="1"/>
  <c r="A26" i="5" s="1"/>
  <c r="D25" i="5"/>
  <c r="A25" i="5" s="1"/>
  <c r="AU93" i="3"/>
  <c r="AR95" i="3"/>
  <c r="AU51" i="3"/>
  <c r="AU62" i="3"/>
  <c r="C28" i="4"/>
  <c r="D27" i="4"/>
  <c r="B26" i="4"/>
  <c r="A26" i="4" s="1"/>
  <c r="AR44" i="3"/>
  <c r="AS43" i="3"/>
  <c r="AU49" i="3"/>
  <c r="AT54" i="3"/>
  <c r="AV91" i="3"/>
  <c r="AV89" i="3"/>
  <c r="AV32" i="3"/>
  <c r="AV27" i="3"/>
  <c r="AV61" i="3"/>
  <c r="AV37" i="3"/>
  <c r="AV38" i="3" s="1"/>
  <c r="AV33" i="3"/>
  <c r="AV31" i="3"/>
  <c r="AV25" i="3"/>
  <c r="AV26" i="3"/>
  <c r="AW4" i="3"/>
  <c r="AW17" i="3" s="1"/>
  <c r="AV21" i="3"/>
  <c r="AV22" i="3" s="1"/>
  <c r="AV9" i="3"/>
  <c r="AT66" i="3"/>
  <c r="AU53" i="3"/>
  <c r="AU50" i="3"/>
  <c r="AU63" i="3"/>
  <c r="AT40" i="3"/>
  <c r="AT41" i="3" s="1"/>
  <c r="AU34" i="3"/>
  <c r="AU64" i="3"/>
  <c r="AU57" i="3"/>
  <c r="AU58" i="3" s="1"/>
  <c r="AU10" i="3"/>
  <c r="AU12" i="3" s="1"/>
  <c r="AU18" i="3"/>
  <c r="AU52" i="3"/>
  <c r="AV93" i="3" l="1"/>
  <c r="AV28" i="3"/>
  <c r="AV65" i="3"/>
  <c r="B27" i="5"/>
  <c r="D27" i="5" s="1"/>
  <c r="A27" i="5" s="1"/>
  <c r="C28" i="5"/>
  <c r="AV34" i="3"/>
  <c r="AV50" i="3"/>
  <c r="AU66" i="3"/>
  <c r="AU40" i="3"/>
  <c r="AU41" i="3" s="1"/>
  <c r="AV52" i="3"/>
  <c r="B27" i="4"/>
  <c r="A27" i="4" s="1"/>
  <c r="D28" i="4"/>
  <c r="C29" i="4"/>
  <c r="AS44" i="3"/>
  <c r="AV57" i="3"/>
  <c r="AV58" i="3" s="1"/>
  <c r="AV10" i="3"/>
  <c r="AV12" i="3" s="1"/>
  <c r="AV51" i="3"/>
  <c r="AW91" i="3"/>
  <c r="AW100" i="3"/>
  <c r="AW75" i="3"/>
  <c r="AW68" i="3"/>
  <c r="AW37" i="3"/>
  <c r="AW38" i="3" s="1"/>
  <c r="AW33" i="3"/>
  <c r="AW31" i="3"/>
  <c r="AW25" i="3"/>
  <c r="AW32" i="3"/>
  <c r="AW21" i="3"/>
  <c r="AW22" i="3" s="1"/>
  <c r="AW26" i="3"/>
  <c r="AW27" i="3"/>
  <c r="AX4" i="3"/>
  <c r="AX17" i="3" s="1"/>
  <c r="AW61" i="3"/>
  <c r="AW9" i="3"/>
  <c r="AU84" i="3"/>
  <c r="AU86" i="3" s="1"/>
  <c r="AV18" i="3"/>
  <c r="AV84" i="3" s="1"/>
  <c r="AV62" i="3"/>
  <c r="AV49" i="3"/>
  <c r="AV53" i="3"/>
  <c r="AV63" i="3"/>
  <c r="AT43" i="3"/>
  <c r="AU54" i="3"/>
  <c r="AV64" i="3"/>
  <c r="AW65" i="3" l="1"/>
  <c r="B28" i="5"/>
  <c r="D28" i="5" s="1"/>
  <c r="A28" i="5" s="1"/>
  <c r="C29" i="5"/>
  <c r="AW63" i="3"/>
  <c r="AW34" i="3"/>
  <c r="AU43" i="3"/>
  <c r="AU70" i="3" s="1"/>
  <c r="AW51" i="3"/>
  <c r="AW62" i="3"/>
  <c r="D29" i="4"/>
  <c r="C30" i="4"/>
  <c r="B28" i="4"/>
  <c r="A28" i="4" s="1"/>
  <c r="AV66" i="3"/>
  <c r="AV86" i="3"/>
  <c r="AW89" i="3"/>
  <c r="AW93" i="3" s="1"/>
  <c r="AV40" i="3"/>
  <c r="AV41" i="3" s="1"/>
  <c r="AW57" i="3"/>
  <c r="AW58" i="3" s="1"/>
  <c r="AW10" i="3"/>
  <c r="AW12" i="3" s="1"/>
  <c r="AV54" i="3"/>
  <c r="AW53" i="3"/>
  <c r="AW50" i="3"/>
  <c r="AW18" i="3"/>
  <c r="AW84" i="3" s="1"/>
  <c r="AW64" i="3"/>
  <c r="AT70" i="3"/>
  <c r="AT44" i="3"/>
  <c r="AW28" i="3"/>
  <c r="AW52" i="3"/>
  <c r="AX75" i="3"/>
  <c r="AX91" i="3"/>
  <c r="AX68" i="3"/>
  <c r="AX100" i="3"/>
  <c r="AX32" i="3"/>
  <c r="AX31" i="3"/>
  <c r="AX33" i="3"/>
  <c r="AX25" i="3"/>
  <c r="AX37" i="3"/>
  <c r="AX38" i="3" s="1"/>
  <c r="AX21" i="3"/>
  <c r="AX22" i="3" s="1"/>
  <c r="AX26" i="3"/>
  <c r="AX27" i="3"/>
  <c r="AY4" i="3"/>
  <c r="AY17" i="3" s="1"/>
  <c r="AX61" i="3"/>
  <c r="AX9" i="3"/>
  <c r="AW49" i="3"/>
  <c r="AX53" i="3" l="1"/>
  <c r="B29" i="5"/>
  <c r="D29" i="5" s="1"/>
  <c r="A29" i="5" s="1"/>
  <c r="C30" i="5"/>
  <c r="AX63" i="3"/>
  <c r="AU44" i="3"/>
  <c r="AT95" i="3"/>
  <c r="AU95" i="3"/>
  <c r="AW66" i="3"/>
  <c r="AX64" i="3"/>
  <c r="AW40" i="3"/>
  <c r="AW41" i="3" s="1"/>
  <c r="AV43" i="3"/>
  <c r="D30" i="4"/>
  <c r="C31" i="4"/>
  <c r="B29" i="4"/>
  <c r="A29" i="4" s="1"/>
  <c r="AW86" i="3"/>
  <c r="AX57" i="3"/>
  <c r="AX58" i="3" s="1"/>
  <c r="AX10" i="3"/>
  <c r="AX12" i="3" s="1"/>
  <c r="AX28" i="3"/>
  <c r="AX50" i="3"/>
  <c r="AW54" i="3"/>
  <c r="AX18" i="3"/>
  <c r="AX84" i="3" s="1"/>
  <c r="AX86" i="3" s="1"/>
  <c r="AY100" i="3"/>
  <c r="AY91" i="3"/>
  <c r="AY75" i="3"/>
  <c r="AY89" i="3"/>
  <c r="AY31" i="3"/>
  <c r="AY33" i="3"/>
  <c r="AY25" i="3"/>
  <c r="AY37" i="3"/>
  <c r="AY38" i="3" s="1"/>
  <c r="AY32" i="3"/>
  <c r="AY21" i="3"/>
  <c r="AY22" i="3" s="1"/>
  <c r="AY26" i="3"/>
  <c r="AY27" i="3"/>
  <c r="AZ4" i="3"/>
  <c r="AZ17" i="3" s="1"/>
  <c r="AY9" i="3"/>
  <c r="AX34" i="3"/>
  <c r="AX51" i="3"/>
  <c r="AX52" i="3"/>
  <c r="AX65" i="3"/>
  <c r="AX49" i="3"/>
  <c r="AX62" i="3"/>
  <c r="AY52" i="3" l="1"/>
  <c r="AY93" i="3"/>
  <c r="C31" i="5"/>
  <c r="B30" i="5"/>
  <c r="D30" i="5" s="1"/>
  <c r="A30" i="5" s="1"/>
  <c r="AY51" i="3"/>
  <c r="AY28" i="3"/>
  <c r="AV44" i="3"/>
  <c r="AY64" i="3"/>
  <c r="AX66" i="3"/>
  <c r="AW43" i="3"/>
  <c r="AW70" i="3" s="1"/>
  <c r="C32" i="4"/>
  <c r="D31" i="4"/>
  <c r="B30" i="4"/>
  <c r="A30" i="4" s="1"/>
  <c r="AX40" i="3"/>
  <c r="AX41" i="3" s="1"/>
  <c r="AX89" i="3"/>
  <c r="AX93" i="3" s="1"/>
  <c r="AY18" i="3"/>
  <c r="AY84" i="3" s="1"/>
  <c r="AY86" i="3" s="1"/>
  <c r="AY61" i="3"/>
  <c r="AX54" i="3"/>
  <c r="AY34" i="3"/>
  <c r="AY65" i="3"/>
  <c r="AY49" i="3"/>
  <c r="AY62" i="3"/>
  <c r="AY53" i="3"/>
  <c r="AY50" i="3"/>
  <c r="AY63" i="3"/>
  <c r="AY57" i="3"/>
  <c r="AY58" i="3" s="1"/>
  <c r="AY10" i="3"/>
  <c r="AY12" i="3" s="1"/>
  <c r="AZ100" i="3"/>
  <c r="AZ89" i="3"/>
  <c r="AZ68" i="3"/>
  <c r="AZ91" i="3"/>
  <c r="AZ75" i="3"/>
  <c r="AZ33" i="3"/>
  <c r="AZ26" i="3"/>
  <c r="AZ37" i="3"/>
  <c r="AZ38" i="3" s="1"/>
  <c r="AZ32" i="3"/>
  <c r="AZ31" i="3"/>
  <c r="AZ27" i="3"/>
  <c r="BA4" i="3"/>
  <c r="BA17" i="3" s="1"/>
  <c r="AZ49" i="3"/>
  <c r="AZ25" i="3"/>
  <c r="AZ21" i="3"/>
  <c r="AZ22" i="3" s="1"/>
  <c r="AZ9" i="3"/>
  <c r="AZ65" i="3" l="1"/>
  <c r="B31" i="5"/>
  <c r="D31" i="5" s="1"/>
  <c r="A31" i="5" s="1"/>
  <c r="C32" i="5"/>
  <c r="AZ93" i="3"/>
  <c r="AZ28" i="3"/>
  <c r="AZ61" i="3"/>
  <c r="AW95" i="3"/>
  <c r="AZ51" i="3"/>
  <c r="AZ63" i="3"/>
  <c r="AZ62" i="3"/>
  <c r="AZ52" i="3"/>
  <c r="AW44" i="3"/>
  <c r="AY40" i="3"/>
  <c r="AY41" i="3" s="1"/>
  <c r="B31" i="4"/>
  <c r="A31" i="4" s="1"/>
  <c r="D32" i="4"/>
  <c r="C33" i="4"/>
  <c r="AX43" i="3"/>
  <c r="AY54" i="3"/>
  <c r="AZ34" i="3"/>
  <c r="AZ53" i="3"/>
  <c r="AZ50" i="3"/>
  <c r="AZ64" i="3"/>
  <c r="AY66" i="3"/>
  <c r="AZ18" i="3"/>
  <c r="AZ84" i="3" s="1"/>
  <c r="AZ86" i="3" s="1"/>
  <c r="BA100" i="3"/>
  <c r="BA89" i="3"/>
  <c r="BA91" i="3"/>
  <c r="BA68" i="3"/>
  <c r="BA75" i="3"/>
  <c r="BA31" i="3"/>
  <c r="BA33" i="3"/>
  <c r="BA32" i="3"/>
  <c r="BA26" i="3"/>
  <c r="BA27" i="3"/>
  <c r="BA25" i="3"/>
  <c r="BA37" i="3"/>
  <c r="BA38" i="3" s="1"/>
  <c r="BB4" i="3"/>
  <c r="BB17" i="3" s="1"/>
  <c r="BA21" i="3"/>
  <c r="BA22" i="3" s="1"/>
  <c r="BA9" i="3"/>
  <c r="AZ57" i="3"/>
  <c r="AZ58" i="3" s="1"/>
  <c r="AZ10" i="3"/>
  <c r="AZ12" i="3" s="1"/>
  <c r="BA53" i="3" l="1"/>
  <c r="BA28" i="3"/>
  <c r="B32" i="5"/>
  <c r="C33" i="5"/>
  <c r="AZ66" i="3"/>
  <c r="BA52" i="3"/>
  <c r="BA51" i="3"/>
  <c r="AX44" i="3"/>
  <c r="AY43" i="3"/>
  <c r="D33" i="4"/>
  <c r="C34" i="4"/>
  <c r="B32" i="4"/>
  <c r="A32" i="4" s="1"/>
  <c r="AX70" i="3"/>
  <c r="AZ54" i="3"/>
  <c r="BA62" i="3"/>
  <c r="AZ40" i="3"/>
  <c r="AZ41" i="3" s="1"/>
  <c r="BA50" i="3"/>
  <c r="BA57" i="3"/>
  <c r="BA58" i="3" s="1"/>
  <c r="BA10" i="3"/>
  <c r="BA12" i="3" s="1"/>
  <c r="BA63" i="3"/>
  <c r="BA64" i="3"/>
  <c r="BA18" i="3"/>
  <c r="BA84" i="3" s="1"/>
  <c r="BA86" i="3" s="1"/>
  <c r="BB91" i="3"/>
  <c r="BB89" i="3"/>
  <c r="BB37" i="3"/>
  <c r="BB38" i="3" s="1"/>
  <c r="BB31" i="3"/>
  <c r="BB26" i="3"/>
  <c r="BB27" i="3"/>
  <c r="BB61" i="3"/>
  <c r="BB25" i="3"/>
  <c r="BC4" i="3"/>
  <c r="BC17" i="3" s="1"/>
  <c r="BB32" i="3"/>
  <c r="BB21" i="3"/>
  <c r="BB22" i="3" s="1"/>
  <c r="BB33" i="3"/>
  <c r="BB9" i="3"/>
  <c r="BA61" i="3"/>
  <c r="BA93" i="3"/>
  <c r="BA34" i="3"/>
  <c r="BA65" i="3"/>
  <c r="BA49" i="3"/>
  <c r="C34" i="5" l="1"/>
  <c r="B33" i="5"/>
  <c r="D33" i="5" s="1"/>
  <c r="A33" i="5" s="1"/>
  <c r="D32" i="5"/>
  <c r="A32" i="5" s="1"/>
  <c r="BB28" i="3"/>
  <c r="BB51" i="3"/>
  <c r="BB93" i="3"/>
  <c r="AX95" i="3"/>
  <c r="BB52" i="3"/>
  <c r="BB50" i="3"/>
  <c r="AY44" i="3"/>
  <c r="AZ43" i="3"/>
  <c r="AZ70" i="3" s="1"/>
  <c r="D34" i="4"/>
  <c r="C35" i="4"/>
  <c r="B33" i="4"/>
  <c r="A33" i="4" s="1"/>
  <c r="BA40" i="3"/>
  <c r="BA41" i="3" s="1"/>
  <c r="BA66" i="3"/>
  <c r="BB49" i="3"/>
  <c r="BB57" i="3"/>
  <c r="BB58" i="3" s="1"/>
  <c r="BB10" i="3"/>
  <c r="BB12" i="3" s="1"/>
  <c r="BB53" i="3"/>
  <c r="BB62" i="3"/>
  <c r="BA54" i="3"/>
  <c r="BB34" i="3"/>
  <c r="BB63" i="3"/>
  <c r="BB64" i="3"/>
  <c r="BC100" i="3"/>
  <c r="BC89" i="3"/>
  <c r="BC68" i="3"/>
  <c r="BC75" i="3"/>
  <c r="BC91" i="3"/>
  <c r="BC33" i="3"/>
  <c r="BC37" i="3"/>
  <c r="BC38" i="3" s="1"/>
  <c r="BC32" i="3"/>
  <c r="BC27" i="3"/>
  <c r="BC25" i="3"/>
  <c r="BC26" i="3"/>
  <c r="BC61" i="3"/>
  <c r="BD4" i="3"/>
  <c r="BD17" i="3" s="1"/>
  <c r="BC21" i="3"/>
  <c r="BC22" i="3" s="1"/>
  <c r="BC31" i="3"/>
  <c r="BC9" i="3"/>
  <c r="BB65" i="3"/>
  <c r="BB18" i="3"/>
  <c r="BB84" i="3" s="1"/>
  <c r="BB86" i="3" s="1"/>
  <c r="BC34" i="3" l="1"/>
  <c r="BC65" i="3"/>
  <c r="C35" i="5"/>
  <c r="B34" i="5"/>
  <c r="D34" i="5" s="1"/>
  <c r="A34" i="5" s="1"/>
  <c r="BC51" i="3"/>
  <c r="BC93" i="3"/>
  <c r="BC50" i="3"/>
  <c r="AZ95" i="3"/>
  <c r="BC52" i="3"/>
  <c r="BC62" i="3"/>
  <c r="AZ44" i="3"/>
  <c r="C36" i="4"/>
  <c r="D35" i="4"/>
  <c r="B34" i="4"/>
  <c r="A34" i="4" s="1"/>
  <c r="BA43" i="3"/>
  <c r="BA70" i="3" s="1"/>
  <c r="BC49" i="3"/>
  <c r="BB66" i="3"/>
  <c r="BB54" i="3"/>
  <c r="BC63" i="3"/>
  <c r="BD91" i="3"/>
  <c r="BD100" i="3"/>
  <c r="BD89" i="3"/>
  <c r="BD75" i="3"/>
  <c r="BD68" i="3"/>
  <c r="BD32" i="3"/>
  <c r="BD27" i="3"/>
  <c r="BD61" i="3"/>
  <c r="BD25" i="3"/>
  <c r="BD37" i="3"/>
  <c r="BD38" i="3" s="1"/>
  <c r="BD33" i="3"/>
  <c r="BD31" i="3"/>
  <c r="BD21" i="3"/>
  <c r="BD22" i="3" s="1"/>
  <c r="BE4" i="3"/>
  <c r="BE17" i="3" s="1"/>
  <c r="BD26" i="3"/>
  <c r="BD9" i="3"/>
  <c r="BC64" i="3"/>
  <c r="BC18" i="3"/>
  <c r="BC84" i="3" s="1"/>
  <c r="BC86" i="3" s="1"/>
  <c r="BB40" i="3"/>
  <c r="BB41" i="3" s="1"/>
  <c r="BC28" i="3"/>
  <c r="BC57" i="3"/>
  <c r="BC58" i="3" s="1"/>
  <c r="BC10" i="3"/>
  <c r="BC12" i="3" s="1"/>
  <c r="BC53" i="3"/>
  <c r="BD65" i="3" l="1"/>
  <c r="BD53" i="3"/>
  <c r="B35" i="5"/>
  <c r="D35" i="5" s="1"/>
  <c r="A35" i="5" s="1"/>
  <c r="C36" i="5"/>
  <c r="BD52" i="3"/>
  <c r="BD93" i="3"/>
  <c r="BD28" i="3"/>
  <c r="BA95" i="3"/>
  <c r="BD50" i="3"/>
  <c r="BD62" i="3"/>
  <c r="BC54" i="3"/>
  <c r="BC40" i="3"/>
  <c r="BC41" i="3" s="1"/>
  <c r="B35" i="4"/>
  <c r="A35" i="4" s="1"/>
  <c r="D36" i="4"/>
  <c r="C37" i="4"/>
  <c r="BA44" i="3"/>
  <c r="BC66" i="3"/>
  <c r="BB43" i="3"/>
  <c r="BD57" i="3"/>
  <c r="BD58" i="3" s="1"/>
  <c r="BD10" i="3"/>
  <c r="BD12" i="3" s="1"/>
  <c r="BD51" i="3"/>
  <c r="BD49" i="3"/>
  <c r="BE91" i="3"/>
  <c r="BE100" i="3"/>
  <c r="BE89" i="3"/>
  <c r="BE75" i="3"/>
  <c r="BE37" i="3"/>
  <c r="BE38" i="3" s="1"/>
  <c r="BE27" i="3"/>
  <c r="BE25" i="3"/>
  <c r="BE21" i="3"/>
  <c r="BE22" i="3" s="1"/>
  <c r="BE33" i="3"/>
  <c r="BE31" i="3"/>
  <c r="BE32" i="3"/>
  <c r="BE26" i="3"/>
  <c r="BE61" i="3"/>
  <c r="BF4" i="3"/>
  <c r="BF17" i="3" s="1"/>
  <c r="BE9" i="3"/>
  <c r="BD18" i="3"/>
  <c r="BD84" i="3" s="1"/>
  <c r="BD86" i="3" s="1"/>
  <c r="BD63" i="3"/>
  <c r="BD34" i="3"/>
  <c r="BD64" i="3"/>
  <c r="BE51" i="3" l="1"/>
  <c r="BE53" i="3"/>
  <c r="BE64" i="3"/>
  <c r="BE65" i="3"/>
  <c r="BE93" i="3"/>
  <c r="B36" i="5"/>
  <c r="D36" i="5" s="1"/>
  <c r="A36" i="5" s="1"/>
  <c r="C37" i="5"/>
  <c r="BE52" i="3"/>
  <c r="BE63" i="3"/>
  <c r="BC43" i="3"/>
  <c r="BC70" i="3" s="1"/>
  <c r="BB44" i="3"/>
  <c r="D37" i="4"/>
  <c r="C38" i="4"/>
  <c r="B36" i="4"/>
  <c r="A36" i="4" s="1"/>
  <c r="BD40" i="3"/>
  <c r="BD41" i="3" s="1"/>
  <c r="BD66" i="3"/>
  <c r="BE49" i="3"/>
  <c r="BE50" i="3"/>
  <c r="BE62" i="3"/>
  <c r="BE34" i="3"/>
  <c r="BD54" i="3"/>
  <c r="BF75" i="3"/>
  <c r="BF100" i="3"/>
  <c r="BF89" i="3"/>
  <c r="BF68" i="3"/>
  <c r="BF91" i="3"/>
  <c r="BF32" i="3"/>
  <c r="BF31" i="3"/>
  <c r="BF27" i="3"/>
  <c r="BF25" i="3"/>
  <c r="BF21" i="3"/>
  <c r="BF22" i="3" s="1"/>
  <c r="BF33" i="3"/>
  <c r="BF37" i="3"/>
  <c r="BF38" i="3" s="1"/>
  <c r="BF26" i="3"/>
  <c r="BG4" i="3"/>
  <c r="BG17" i="3" s="1"/>
  <c r="BF9" i="3"/>
  <c r="BE57" i="3"/>
  <c r="BE58" i="3" s="1"/>
  <c r="BE10" i="3"/>
  <c r="BE12" i="3" s="1"/>
  <c r="BE28" i="3"/>
  <c r="BE18" i="3"/>
  <c r="BE84" i="3" s="1"/>
  <c r="BE86" i="3" s="1"/>
  <c r="BF53" i="3" l="1"/>
  <c r="C38" i="5"/>
  <c r="B37" i="5"/>
  <c r="D37" i="5" s="1"/>
  <c r="A37" i="5" s="1"/>
  <c r="BF65" i="3"/>
  <c r="BF34" i="3"/>
  <c r="BF51" i="3"/>
  <c r="BE66" i="3"/>
  <c r="BF63" i="3"/>
  <c r="BC95" i="3"/>
  <c r="BF62" i="3"/>
  <c r="BC44" i="3"/>
  <c r="D38" i="4"/>
  <c r="C39" i="4"/>
  <c r="B37" i="4"/>
  <c r="A37" i="4" s="1"/>
  <c r="BD43" i="3"/>
  <c r="BD70" i="3" s="1"/>
  <c r="BE40" i="3"/>
  <c r="BE41" i="3" s="1"/>
  <c r="BF50" i="3"/>
  <c r="BF18" i="3"/>
  <c r="BF84" i="3" s="1"/>
  <c r="BF86" i="3" s="1"/>
  <c r="BF64" i="3"/>
  <c r="BF57" i="3"/>
  <c r="BF58" i="3" s="1"/>
  <c r="BF10" i="3"/>
  <c r="BF12" i="3" s="1"/>
  <c r="BF28" i="3"/>
  <c r="BF61" i="3"/>
  <c r="BG100" i="3"/>
  <c r="BG89" i="3"/>
  <c r="BG75" i="3"/>
  <c r="BG91" i="3"/>
  <c r="BG68" i="3"/>
  <c r="BG31" i="3"/>
  <c r="BG25" i="3"/>
  <c r="BG21" i="3"/>
  <c r="BG22" i="3" s="1"/>
  <c r="BG33" i="3"/>
  <c r="BG37" i="3"/>
  <c r="BG38" i="3" s="1"/>
  <c r="BG26" i="3"/>
  <c r="BG32" i="3"/>
  <c r="BG27" i="3"/>
  <c r="BH4" i="3"/>
  <c r="BH17" i="3" s="1"/>
  <c r="BG9" i="3"/>
  <c r="BF93" i="3"/>
  <c r="BF52" i="3"/>
  <c r="BF49" i="3"/>
  <c r="BE54" i="3"/>
  <c r="BG65" i="3" l="1"/>
  <c r="B38" i="5"/>
  <c r="D38" i="5" s="1"/>
  <c r="A38" i="5" s="1"/>
  <c r="C39" i="5"/>
  <c r="BG51" i="3"/>
  <c r="BG93" i="3"/>
  <c r="BG34" i="3"/>
  <c r="BG64" i="3"/>
  <c r="BG63" i="3"/>
  <c r="BD95" i="3"/>
  <c r="BG52" i="3"/>
  <c r="BD44" i="3"/>
  <c r="C40" i="4"/>
  <c r="D39" i="4"/>
  <c r="B38" i="4"/>
  <c r="A38" i="4" s="1"/>
  <c r="BF40" i="3"/>
  <c r="BF41" i="3" s="1"/>
  <c r="BE43" i="3"/>
  <c r="BG18" i="3"/>
  <c r="BG84" i="3" s="1"/>
  <c r="BG86" i="3" s="1"/>
  <c r="BG49" i="3"/>
  <c r="BG62" i="3"/>
  <c r="BF54" i="3"/>
  <c r="BG53" i="3"/>
  <c r="BF66" i="3"/>
  <c r="BG50" i="3"/>
  <c r="BG57" i="3"/>
  <c r="BG58" i="3" s="1"/>
  <c r="BG10" i="3"/>
  <c r="BG12" i="3" s="1"/>
  <c r="BH89" i="3"/>
  <c r="BH91" i="3"/>
  <c r="BH33" i="3"/>
  <c r="BH26" i="3"/>
  <c r="BH25" i="3"/>
  <c r="BH21" i="3"/>
  <c r="BH22" i="3" s="1"/>
  <c r="BH37" i="3"/>
  <c r="BH38" i="3" s="1"/>
  <c r="BH32" i="3"/>
  <c r="BH31" i="3"/>
  <c r="BH27" i="3"/>
  <c r="BH49" i="3"/>
  <c r="BI4" i="3"/>
  <c r="BI17" i="3" s="1"/>
  <c r="BH9" i="3"/>
  <c r="BG28" i="3"/>
  <c r="BG61" i="3"/>
  <c r="B39" i="5" l="1"/>
  <c r="D39" i="5" s="1"/>
  <c r="A39" i="5" s="1"/>
  <c r="C40" i="5"/>
  <c r="BH34" i="3"/>
  <c r="BH63" i="3"/>
  <c r="BH51" i="3"/>
  <c r="BF43" i="3"/>
  <c r="BF70" i="3" s="1"/>
  <c r="BE44" i="3"/>
  <c r="BG66" i="3"/>
  <c r="B39" i="4"/>
  <c r="A39" i="4" s="1"/>
  <c r="D40" i="4"/>
  <c r="C41" i="4"/>
  <c r="BG54" i="3"/>
  <c r="BH61" i="3"/>
  <c r="BH93" i="3"/>
  <c r="BH52" i="3"/>
  <c r="BH65" i="3"/>
  <c r="BH53" i="3"/>
  <c r="BH57" i="3"/>
  <c r="BH58" i="3" s="1"/>
  <c r="BH10" i="3"/>
  <c r="BH12" i="3" s="1"/>
  <c r="BH50" i="3"/>
  <c r="BI100" i="3"/>
  <c r="BI89" i="3"/>
  <c r="BI91" i="3"/>
  <c r="BI68" i="3"/>
  <c r="BI75" i="3"/>
  <c r="BI31" i="3"/>
  <c r="BI33" i="3"/>
  <c r="BI37" i="3"/>
  <c r="BI38" i="3" s="1"/>
  <c r="BI32" i="3"/>
  <c r="BI26" i="3"/>
  <c r="BI27" i="3"/>
  <c r="BI21" i="3"/>
  <c r="BI22" i="3" s="1"/>
  <c r="BJ4" i="3"/>
  <c r="BJ17" i="3" s="1"/>
  <c r="BI61" i="3"/>
  <c r="BI25" i="3"/>
  <c r="BI9" i="3"/>
  <c r="BH28" i="3"/>
  <c r="BH62" i="3"/>
  <c r="BG40" i="3"/>
  <c r="BG41" i="3" s="1"/>
  <c r="BH18" i="3"/>
  <c r="BH84" i="3" s="1"/>
  <c r="BH86" i="3" s="1"/>
  <c r="BH64" i="3"/>
  <c r="B40" i="5" l="1"/>
  <c r="D40" i="5" s="1"/>
  <c r="A40" i="5" s="1"/>
  <c r="C41" i="5"/>
  <c r="BF95" i="3"/>
  <c r="BI52" i="3"/>
  <c r="BI62" i="3"/>
  <c r="BI50" i="3"/>
  <c r="BF44" i="3"/>
  <c r="D41" i="4"/>
  <c r="C42" i="4"/>
  <c r="B40" i="4"/>
  <c r="A40" i="4" s="1"/>
  <c r="BH40" i="3"/>
  <c r="BH41" i="3" s="1"/>
  <c r="BH54" i="3"/>
  <c r="BI49" i="3"/>
  <c r="BI28" i="3"/>
  <c r="BI51" i="3"/>
  <c r="BI63" i="3"/>
  <c r="BG43" i="3"/>
  <c r="BG70" i="3" s="1"/>
  <c r="BI18" i="3"/>
  <c r="BI84" i="3" s="1"/>
  <c r="BI86" i="3" s="1"/>
  <c r="BI64" i="3"/>
  <c r="BI93" i="3"/>
  <c r="BI65" i="3"/>
  <c r="BJ100" i="3"/>
  <c r="BJ68" i="3"/>
  <c r="BJ91" i="3"/>
  <c r="BJ75" i="3"/>
  <c r="BJ89" i="3"/>
  <c r="BJ37" i="3"/>
  <c r="BJ38" i="3" s="1"/>
  <c r="BJ33" i="3"/>
  <c r="BJ32" i="3"/>
  <c r="BJ26" i="3"/>
  <c r="BJ31" i="3"/>
  <c r="BJ27" i="3"/>
  <c r="BJ61" i="3"/>
  <c r="BJ25" i="3"/>
  <c r="BK4" i="3"/>
  <c r="BK17" i="3" s="1"/>
  <c r="BJ21" i="3"/>
  <c r="BJ22" i="3" s="1"/>
  <c r="BJ9" i="3"/>
  <c r="BI34" i="3"/>
  <c r="BH66" i="3"/>
  <c r="BI53" i="3"/>
  <c r="BI57" i="3"/>
  <c r="BI58" i="3" s="1"/>
  <c r="BI10" i="3"/>
  <c r="BI12" i="3" s="1"/>
  <c r="BJ62" i="3" l="1"/>
  <c r="BJ64" i="3"/>
  <c r="B41" i="5"/>
  <c r="D41" i="5" s="1"/>
  <c r="A41" i="5" s="1"/>
  <c r="C42" i="5"/>
  <c r="BJ52" i="3"/>
  <c r="BJ28" i="3"/>
  <c r="BJ93" i="3"/>
  <c r="BJ34" i="3"/>
  <c r="BG95" i="3"/>
  <c r="BJ50" i="3"/>
  <c r="BH43" i="3"/>
  <c r="D42" i="4"/>
  <c r="C43" i="4"/>
  <c r="B41" i="4"/>
  <c r="A41" i="4" s="1"/>
  <c r="BI66" i="3"/>
  <c r="BI54" i="3"/>
  <c r="BI40" i="3"/>
  <c r="BI41" i="3" s="1"/>
  <c r="BJ53" i="3"/>
  <c r="BJ57" i="3"/>
  <c r="BJ58" i="3" s="1"/>
  <c r="BJ10" i="3"/>
  <c r="BJ12" i="3" s="1"/>
  <c r="BJ49" i="3"/>
  <c r="BG44" i="3"/>
  <c r="BJ51" i="3"/>
  <c r="BK100" i="3"/>
  <c r="BK89" i="3"/>
  <c r="BK91" i="3"/>
  <c r="BK33" i="3"/>
  <c r="BK37" i="3"/>
  <c r="BK38" i="3" s="1"/>
  <c r="BK75" i="3"/>
  <c r="BK32" i="3"/>
  <c r="BK27" i="3"/>
  <c r="BK25" i="3"/>
  <c r="BK26" i="3"/>
  <c r="BK31" i="3"/>
  <c r="BK49" i="3"/>
  <c r="BL4" i="3"/>
  <c r="BL17" i="3" s="1"/>
  <c r="BK21" i="3"/>
  <c r="BK22" i="3" s="1"/>
  <c r="BK9" i="3"/>
  <c r="BJ63" i="3"/>
  <c r="BJ18" i="3"/>
  <c r="BJ84" i="3" s="1"/>
  <c r="BJ86" i="3" s="1"/>
  <c r="BJ65" i="3"/>
  <c r="BK65" i="3" l="1"/>
  <c r="C43" i="5"/>
  <c r="B42" i="5"/>
  <c r="D42" i="5" s="1"/>
  <c r="A42" i="5" s="1"/>
  <c r="BK34" i="3"/>
  <c r="BK93" i="3"/>
  <c r="BK28" i="3"/>
  <c r="BK52" i="3"/>
  <c r="BH44" i="3"/>
  <c r="C44" i="4"/>
  <c r="D43" i="4"/>
  <c r="B42" i="4"/>
  <c r="A42" i="4" s="1"/>
  <c r="BJ40" i="3"/>
  <c r="BJ41" i="3" s="1"/>
  <c r="BJ66" i="3"/>
  <c r="BI43" i="3"/>
  <c r="BI70" i="3" s="1"/>
  <c r="BK57" i="3"/>
  <c r="BK58" i="3" s="1"/>
  <c r="BK10" i="3"/>
  <c r="BK12" i="3" s="1"/>
  <c r="BK53" i="3"/>
  <c r="BJ54" i="3"/>
  <c r="BK50" i="3"/>
  <c r="BK62" i="3"/>
  <c r="BL91" i="3"/>
  <c r="BL100" i="3"/>
  <c r="BL68" i="3"/>
  <c r="BL89" i="3"/>
  <c r="BL75" i="3"/>
  <c r="BL32" i="3"/>
  <c r="BL27" i="3"/>
  <c r="BL26" i="3"/>
  <c r="BL37" i="3"/>
  <c r="BL38" i="3" s="1"/>
  <c r="BL33" i="3"/>
  <c r="BL31" i="3"/>
  <c r="BL61" i="3"/>
  <c r="BL25" i="3"/>
  <c r="BL21" i="3"/>
  <c r="BL22" i="3" s="1"/>
  <c r="BM4" i="3"/>
  <c r="BM17" i="3" s="1"/>
  <c r="BL9" i="3"/>
  <c r="BK18" i="3"/>
  <c r="BK84" i="3" s="1"/>
  <c r="BK86" i="3" s="1"/>
  <c r="BK63" i="3"/>
  <c r="BK51" i="3"/>
  <c r="BK64" i="3"/>
  <c r="BK61" i="3"/>
  <c r="BL52" i="3" l="1"/>
  <c r="B43" i="5"/>
  <c r="D43" i="5" s="1"/>
  <c r="A43" i="5" s="1"/>
  <c r="C44" i="5"/>
  <c r="BL28" i="3"/>
  <c r="BI95" i="3"/>
  <c r="BL63" i="3"/>
  <c r="BL49" i="3"/>
  <c r="BL62" i="3"/>
  <c r="B43" i="4"/>
  <c r="A43" i="4" s="1"/>
  <c r="D44" i="4"/>
  <c r="C45" i="4"/>
  <c r="BJ43" i="3"/>
  <c r="BJ70" i="3" s="1"/>
  <c r="BI44" i="3"/>
  <c r="BK54" i="3"/>
  <c r="BK66" i="3"/>
  <c r="BL53" i="3"/>
  <c r="BL93" i="3"/>
  <c r="BL57" i="3"/>
  <c r="BL58" i="3" s="1"/>
  <c r="BL10" i="3"/>
  <c r="BL12" i="3" s="1"/>
  <c r="BL18" i="3"/>
  <c r="BL84" i="3" s="1"/>
  <c r="BL86" i="3" s="1"/>
  <c r="BL50" i="3"/>
  <c r="BL65" i="3"/>
  <c r="BM91" i="3"/>
  <c r="BM100" i="3"/>
  <c r="BM89" i="3"/>
  <c r="BM75" i="3"/>
  <c r="BM68" i="3"/>
  <c r="BM37" i="3"/>
  <c r="BM38" i="3" s="1"/>
  <c r="BM33" i="3"/>
  <c r="BM31" i="3"/>
  <c r="BM32" i="3"/>
  <c r="BM27" i="3"/>
  <c r="BM25" i="3"/>
  <c r="BM21" i="3"/>
  <c r="BM22" i="3" s="1"/>
  <c r="BN4" i="3"/>
  <c r="BN17" i="3" s="1"/>
  <c r="BM26" i="3"/>
  <c r="BM9" i="3"/>
  <c r="BK40" i="3"/>
  <c r="BK41" i="3" s="1"/>
  <c r="BL34" i="3"/>
  <c r="BL51" i="3"/>
  <c r="BL64" i="3"/>
  <c r="C45" i="5" l="1"/>
  <c r="B44" i="5"/>
  <c r="BM53" i="3"/>
  <c r="BM28" i="3"/>
  <c r="BM34" i="3"/>
  <c r="BJ95" i="3"/>
  <c r="BL40" i="3"/>
  <c r="BL43" i="3" s="1"/>
  <c r="BM62" i="3"/>
  <c r="BL66" i="3"/>
  <c r="D45" i="4"/>
  <c r="C46" i="4"/>
  <c r="B44" i="4"/>
  <c r="A44" i="4" s="1"/>
  <c r="BJ44" i="3"/>
  <c r="BL54" i="3"/>
  <c r="BK43" i="3"/>
  <c r="BM63" i="3"/>
  <c r="BM51" i="3"/>
  <c r="BM64" i="3"/>
  <c r="BM18" i="3"/>
  <c r="BM84" i="3" s="1"/>
  <c r="BM86" i="3" s="1"/>
  <c r="BM52" i="3"/>
  <c r="BM57" i="3"/>
  <c r="BM58" i="3" s="1"/>
  <c r="BM10" i="3"/>
  <c r="BM12" i="3" s="1"/>
  <c r="BM61" i="3"/>
  <c r="BM65" i="3"/>
  <c r="BM93" i="3"/>
  <c r="BN91" i="3"/>
  <c r="BN89" i="3"/>
  <c r="BN32" i="3"/>
  <c r="BN31" i="3"/>
  <c r="BN37" i="3"/>
  <c r="BN38" i="3" s="1"/>
  <c r="BN27" i="3"/>
  <c r="BN25" i="3"/>
  <c r="BN21" i="3"/>
  <c r="BN22" i="3" s="1"/>
  <c r="BN26" i="3"/>
  <c r="BN33" i="3"/>
  <c r="BN49" i="3"/>
  <c r="BO4" i="3"/>
  <c r="BO17" i="3" s="1"/>
  <c r="BN9" i="3"/>
  <c r="BM49" i="3"/>
  <c r="BM50" i="3"/>
  <c r="BN53" i="3" l="1"/>
  <c r="D44" i="5"/>
  <c r="A44" i="5" s="1"/>
  <c r="B45" i="5"/>
  <c r="D45" i="5" s="1"/>
  <c r="A45" i="5" s="1"/>
  <c r="C46" i="5"/>
  <c r="BN52" i="3"/>
  <c r="BL41" i="3"/>
  <c r="BN62" i="3"/>
  <c r="BN51" i="3"/>
  <c r="BN64" i="3"/>
  <c r="BL70" i="3"/>
  <c r="BK44" i="3"/>
  <c r="BL44" i="3" s="1"/>
  <c r="D46" i="4"/>
  <c r="C47" i="4"/>
  <c r="B45" i="4"/>
  <c r="A45" i="4" s="1"/>
  <c r="BM66" i="3"/>
  <c r="BN18" i="3"/>
  <c r="BN84" i="3" s="1"/>
  <c r="BN86" i="3" s="1"/>
  <c r="BN65" i="3"/>
  <c r="BN34" i="3"/>
  <c r="BN93" i="3"/>
  <c r="BM40" i="3"/>
  <c r="BM54" i="3"/>
  <c r="BN28" i="3"/>
  <c r="BN63" i="3"/>
  <c r="BN57" i="3"/>
  <c r="BN58" i="3" s="1"/>
  <c r="BN10" i="3"/>
  <c r="BN12" i="3" s="1"/>
  <c r="BN50" i="3"/>
  <c r="BO100" i="3"/>
  <c r="BO75" i="3"/>
  <c r="BO68" i="3"/>
  <c r="BO89" i="3"/>
  <c r="BO91" i="3"/>
  <c r="BO31" i="3"/>
  <c r="BO32" i="3"/>
  <c r="BO27" i="3"/>
  <c r="BO25" i="3"/>
  <c r="BO21" i="3"/>
  <c r="BO22" i="3" s="1"/>
  <c r="BO26" i="3"/>
  <c r="BO33" i="3"/>
  <c r="BO37" i="3"/>
  <c r="BO38" i="3" s="1"/>
  <c r="BP4" i="3"/>
  <c r="BP17" i="3" s="1"/>
  <c r="BO9" i="3"/>
  <c r="BN61" i="3"/>
  <c r="B46" i="5" l="1"/>
  <c r="D46" i="5" s="1"/>
  <c r="A46" i="5" s="1"/>
  <c r="C47" i="5"/>
  <c r="BO52" i="3"/>
  <c r="BM41" i="3"/>
  <c r="BN54" i="3"/>
  <c r="BL95" i="3"/>
  <c r="BO64" i="3"/>
  <c r="C48" i="4"/>
  <c r="D47" i="4"/>
  <c r="B46" i="4"/>
  <c r="A46" i="4" s="1"/>
  <c r="BN40" i="3"/>
  <c r="BO50" i="3"/>
  <c r="BN66" i="3"/>
  <c r="BO28" i="3"/>
  <c r="BO51" i="3"/>
  <c r="BO63" i="3"/>
  <c r="BP100" i="3"/>
  <c r="BP89" i="3"/>
  <c r="BP75" i="3"/>
  <c r="BP68" i="3"/>
  <c r="BP91" i="3"/>
  <c r="BP33" i="3"/>
  <c r="BP26" i="3"/>
  <c r="BP27" i="3"/>
  <c r="BP25" i="3"/>
  <c r="BP21" i="3"/>
  <c r="BP22" i="3" s="1"/>
  <c r="BP37" i="3"/>
  <c r="BP38" i="3" s="1"/>
  <c r="BP32" i="3"/>
  <c r="BP49" i="3"/>
  <c r="BQ4" i="3"/>
  <c r="BQ17" i="3" s="1"/>
  <c r="BP31" i="3"/>
  <c r="BP9" i="3"/>
  <c r="BO18" i="3"/>
  <c r="BO84" i="3" s="1"/>
  <c r="BO86" i="3" s="1"/>
  <c r="BO61" i="3"/>
  <c r="BO57" i="3"/>
  <c r="BO58" i="3" s="1"/>
  <c r="BO10" i="3"/>
  <c r="BO12" i="3" s="1"/>
  <c r="BO34" i="3"/>
  <c r="BO65" i="3"/>
  <c r="BO49" i="3"/>
  <c r="BO93" i="3"/>
  <c r="BO53" i="3"/>
  <c r="BO62" i="3"/>
  <c r="BM43" i="3"/>
  <c r="BM70" i="3" s="1"/>
  <c r="BP65" i="3" l="1"/>
  <c r="B47" i="5"/>
  <c r="D47" i="5" s="1"/>
  <c r="A47" i="5" s="1"/>
  <c r="C48" i="5"/>
  <c r="BN41" i="3"/>
  <c r="BP93" i="3"/>
  <c r="BM95" i="3"/>
  <c r="BP62" i="3"/>
  <c r="BP51" i="3"/>
  <c r="BP50" i="3"/>
  <c r="BP64" i="3"/>
  <c r="B47" i="4"/>
  <c r="A47" i="4" s="1"/>
  <c r="D48" i="4"/>
  <c r="C49" i="4"/>
  <c r="BN43" i="3"/>
  <c r="BO66" i="3"/>
  <c r="BP52" i="3"/>
  <c r="BP61" i="3"/>
  <c r="BO54" i="3"/>
  <c r="BO40" i="3"/>
  <c r="BP53" i="3"/>
  <c r="BP57" i="3"/>
  <c r="BP58" i="3" s="1"/>
  <c r="BP10" i="3"/>
  <c r="BP12" i="3" s="1"/>
  <c r="BP28" i="3"/>
  <c r="BP63" i="3"/>
  <c r="BQ100" i="3"/>
  <c r="BQ89" i="3"/>
  <c r="BQ91" i="3"/>
  <c r="BQ75" i="3"/>
  <c r="BQ31" i="3"/>
  <c r="BQ33" i="3"/>
  <c r="BQ25" i="3"/>
  <c r="BQ26" i="3"/>
  <c r="BQ37" i="3"/>
  <c r="BQ38" i="3" s="1"/>
  <c r="BQ32" i="3"/>
  <c r="BQ61" i="3"/>
  <c r="BR4" i="3"/>
  <c r="BR17" i="3" s="1"/>
  <c r="BQ21" i="3"/>
  <c r="BQ22" i="3" s="1"/>
  <c r="BQ9" i="3"/>
  <c r="BQ27" i="3"/>
  <c r="BP34" i="3"/>
  <c r="BM44" i="3"/>
  <c r="BP18" i="3"/>
  <c r="BP84" i="3" s="1"/>
  <c r="BP86" i="3" s="1"/>
  <c r="BQ93" i="3" l="1"/>
  <c r="C49" i="5"/>
  <c r="B48" i="5"/>
  <c r="D48" i="5" s="1"/>
  <c r="A48" i="5" s="1"/>
  <c r="BO41" i="3"/>
  <c r="BQ52" i="3"/>
  <c r="BQ49" i="3"/>
  <c r="BQ62" i="3"/>
  <c r="BN44" i="3"/>
  <c r="D49" i="4"/>
  <c r="C50" i="4"/>
  <c r="B48" i="4"/>
  <c r="A48" i="4" s="1"/>
  <c r="BP54" i="3"/>
  <c r="BP40" i="3"/>
  <c r="BO43" i="3"/>
  <c r="BO70" i="3" s="1"/>
  <c r="BQ64" i="3"/>
  <c r="BR100" i="3"/>
  <c r="BR68" i="3"/>
  <c r="BR89" i="3"/>
  <c r="BR91" i="3"/>
  <c r="BR75" i="3"/>
  <c r="BR37" i="3"/>
  <c r="BR38" i="3" s="1"/>
  <c r="BR26" i="3"/>
  <c r="BR61" i="3"/>
  <c r="BR33" i="3"/>
  <c r="BR32" i="3"/>
  <c r="BR31" i="3"/>
  <c r="BR27" i="3"/>
  <c r="BS4" i="3"/>
  <c r="BS17" i="3" s="1"/>
  <c r="BR25" i="3"/>
  <c r="BR21" i="3"/>
  <c r="BR22" i="3" s="1"/>
  <c r="BR9" i="3"/>
  <c r="BQ18" i="3"/>
  <c r="BQ84" i="3" s="1"/>
  <c r="BQ86" i="3" s="1"/>
  <c r="BQ34" i="3"/>
  <c r="BQ65" i="3"/>
  <c r="BQ53" i="3"/>
  <c r="BP66" i="3"/>
  <c r="BQ50" i="3"/>
  <c r="BQ28" i="3"/>
  <c r="BQ63" i="3"/>
  <c r="BQ57" i="3"/>
  <c r="BQ58" i="3" s="1"/>
  <c r="BQ10" i="3"/>
  <c r="BQ12" i="3" s="1"/>
  <c r="BQ51" i="3"/>
  <c r="BR64" i="3" l="1"/>
  <c r="BR65" i="3"/>
  <c r="B49" i="5"/>
  <c r="D49" i="5" s="1"/>
  <c r="A49" i="5" s="1"/>
  <c r="C50" i="5"/>
  <c r="BP41" i="3"/>
  <c r="BR93" i="3"/>
  <c r="BR51" i="3"/>
  <c r="BO95" i="3"/>
  <c r="BR52" i="3"/>
  <c r="BR62" i="3"/>
  <c r="BQ66" i="3"/>
  <c r="BO44" i="3"/>
  <c r="D50" i="4"/>
  <c r="C51" i="4"/>
  <c r="B49" i="4"/>
  <c r="A49" i="4" s="1"/>
  <c r="BQ54" i="3"/>
  <c r="BP43" i="3"/>
  <c r="BP70" i="3" s="1"/>
  <c r="BR57" i="3"/>
  <c r="BR58" i="3" s="1"/>
  <c r="BR10" i="3"/>
  <c r="BR12" i="3" s="1"/>
  <c r="BR49" i="3"/>
  <c r="BR53" i="3"/>
  <c r="BR28" i="3"/>
  <c r="BR50" i="3"/>
  <c r="BR63" i="3"/>
  <c r="BS68" i="3"/>
  <c r="BS89" i="3"/>
  <c r="BS100" i="3"/>
  <c r="BS91" i="3"/>
  <c r="BS75" i="3"/>
  <c r="BS33" i="3"/>
  <c r="V33" i="3" s="1"/>
  <c r="BS37" i="3"/>
  <c r="BS65" i="3" s="1"/>
  <c r="BS32" i="3"/>
  <c r="V32" i="3" s="1"/>
  <c r="BS27" i="3"/>
  <c r="V27" i="3" s="1"/>
  <c r="BS25" i="3"/>
  <c r="BS26" i="3"/>
  <c r="V26" i="3" s="1"/>
  <c r="BS49" i="3"/>
  <c r="BS31" i="3"/>
  <c r="BS21" i="3"/>
  <c r="BS50" i="3" s="1"/>
  <c r="BS9" i="3"/>
  <c r="BR34" i="3"/>
  <c r="BQ40" i="3"/>
  <c r="BR18" i="3"/>
  <c r="BR84" i="3" s="1"/>
  <c r="BR86" i="3" s="1"/>
  <c r="BS53" i="3" l="1"/>
  <c r="V53" i="3" s="1"/>
  <c r="V65" i="3"/>
  <c r="B50" i="5"/>
  <c r="D50" i="5" s="1"/>
  <c r="A50" i="5" s="1"/>
  <c r="C51" i="5"/>
  <c r="BQ41" i="3"/>
  <c r="BS51" i="3"/>
  <c r="V51" i="3" s="1"/>
  <c r="BR66" i="3"/>
  <c r="BP95" i="3"/>
  <c r="BS62" i="3"/>
  <c r="V62" i="3" s="1"/>
  <c r="C52" i="4"/>
  <c r="D51" i="4"/>
  <c r="B50" i="4"/>
  <c r="A50" i="4" s="1"/>
  <c r="BR40" i="3"/>
  <c r="BR43" i="3" s="1"/>
  <c r="BP44" i="3"/>
  <c r="BS57" i="3"/>
  <c r="BS10" i="3"/>
  <c r="V10" i="3" s="1"/>
  <c r="V9" i="3"/>
  <c r="BS22" i="3"/>
  <c r="V22" i="3" s="1"/>
  <c r="V21" i="3"/>
  <c r="BS38" i="3"/>
  <c r="V38" i="3" s="1"/>
  <c r="V37" i="3"/>
  <c r="BS34" i="3"/>
  <c r="V34" i="3" s="1"/>
  <c r="V31" i="3"/>
  <c r="BS64" i="3"/>
  <c r="V64" i="3" s="1"/>
  <c r="BR54" i="3"/>
  <c r="BS18" i="3"/>
  <c r="V18" i="3" s="1"/>
  <c r="R74" i="3" s="1"/>
  <c r="V17" i="3"/>
  <c r="BS52" i="3"/>
  <c r="V52" i="3" s="1"/>
  <c r="BS61" i="3"/>
  <c r="BS28" i="3"/>
  <c r="V28" i="3" s="1"/>
  <c r="V25" i="3"/>
  <c r="V49" i="3"/>
  <c r="BQ43" i="3"/>
  <c r="V50" i="3"/>
  <c r="BS63" i="3"/>
  <c r="V63" i="3" s="1"/>
  <c r="BS93" i="3"/>
  <c r="V89" i="3"/>
  <c r="B51" i="5" l="1"/>
  <c r="C52" i="5"/>
  <c r="B51" i="4"/>
  <c r="A51" i="4" s="1"/>
  <c r="D52" i="4"/>
  <c r="C53" i="4"/>
  <c r="D53" i="4" s="1"/>
  <c r="BR70" i="3"/>
  <c r="BS12" i="3"/>
  <c r="V12" i="3" s="1"/>
  <c r="BR41" i="3"/>
  <c r="BQ44" i="3"/>
  <c r="BR44" i="3" s="1"/>
  <c r="BS54" i="3"/>
  <c r="V54" i="3" s="1"/>
  <c r="BS40" i="3"/>
  <c r="BS84" i="3"/>
  <c r="BS66" i="3"/>
  <c r="V66" i="3" s="1"/>
  <c r="V61" i="3"/>
  <c r="BS58" i="3"/>
  <c r="V58" i="3" s="1"/>
  <c r="X68" i="3" s="1"/>
  <c r="V57" i="3"/>
  <c r="B52" i="5" l="1"/>
  <c r="C53" i="5"/>
  <c r="B53" i="5" s="1"/>
  <c r="D51" i="5"/>
  <c r="A51" i="5" s="1"/>
  <c r="BR95" i="3"/>
  <c r="F53" i="4"/>
  <c r="F6" i="4"/>
  <c r="F4" i="4"/>
  <c r="E4" i="4" s="1"/>
  <c r="F7" i="4"/>
  <c r="F5" i="4"/>
  <c r="F8" i="4"/>
  <c r="F9" i="4"/>
  <c r="F10" i="4"/>
  <c r="F12" i="4"/>
  <c r="F11" i="4"/>
  <c r="F14" i="4"/>
  <c r="F17" i="4"/>
  <c r="F13" i="4"/>
  <c r="F15" i="4"/>
  <c r="F16" i="4"/>
  <c r="F20" i="4"/>
  <c r="F22" i="4"/>
  <c r="F18" i="4"/>
  <c r="F19" i="4"/>
  <c r="F21" i="4"/>
  <c r="F23" i="4"/>
  <c r="F24" i="4"/>
  <c r="F25" i="4"/>
  <c r="F26" i="4"/>
  <c r="F27" i="4"/>
  <c r="F28" i="4"/>
  <c r="F30" i="4"/>
  <c r="F29" i="4"/>
  <c r="F32" i="4"/>
  <c r="F31" i="4"/>
  <c r="F34" i="4"/>
  <c r="F35" i="4"/>
  <c r="F33" i="4"/>
  <c r="F37" i="4"/>
  <c r="F38" i="4"/>
  <c r="F36" i="4"/>
  <c r="F41" i="4"/>
  <c r="F39" i="4"/>
  <c r="F40" i="4"/>
  <c r="F42" i="4"/>
  <c r="F44" i="4"/>
  <c r="F43" i="4"/>
  <c r="F45" i="4"/>
  <c r="F46" i="4"/>
  <c r="F47" i="4"/>
  <c r="B52" i="4"/>
  <c r="A52" i="4" s="1"/>
  <c r="F52" i="4"/>
  <c r="F49" i="4"/>
  <c r="F51" i="4"/>
  <c r="F48" i="4"/>
  <c r="F50" i="4"/>
  <c r="BS43" i="3"/>
  <c r="BS70" i="3" s="1"/>
  <c r="BS86" i="3"/>
  <c r="V86" i="3" s="1"/>
  <c r="V84" i="3"/>
  <c r="AB91" i="3" s="1"/>
  <c r="BS41" i="3"/>
  <c r="V41" i="3" s="1"/>
  <c r="V40" i="3"/>
  <c r="AA68" i="3"/>
  <c r="X70" i="3"/>
  <c r="C13" i="2"/>
  <c r="C7" i="2"/>
  <c r="F47" i="5" l="1"/>
  <c r="F49" i="5"/>
  <c r="F51" i="5"/>
  <c r="F53" i="5"/>
  <c r="D53" i="5"/>
  <c r="A53" i="5" s="1"/>
  <c r="F9" i="5"/>
  <c r="F19" i="5"/>
  <c r="F24" i="5"/>
  <c r="F33" i="5"/>
  <c r="F40" i="5"/>
  <c r="F44" i="5"/>
  <c r="F8" i="5"/>
  <c r="F20" i="5"/>
  <c r="F23" i="5"/>
  <c r="F32" i="5"/>
  <c r="F39" i="5"/>
  <c r="F45" i="5"/>
  <c r="F43" i="5"/>
  <c r="F10" i="5"/>
  <c r="F15" i="5"/>
  <c r="F27" i="5"/>
  <c r="F34" i="5"/>
  <c r="F42" i="5"/>
  <c r="F48" i="5"/>
  <c r="F12" i="5"/>
  <c r="F17" i="5"/>
  <c r="F30" i="5"/>
  <c r="F35" i="5"/>
  <c r="D52" i="5"/>
  <c r="A52" i="5" s="1"/>
  <c r="F11" i="5"/>
  <c r="F21" i="5"/>
  <c r="F26" i="5"/>
  <c r="F36" i="5"/>
  <c r="F7" i="5"/>
  <c r="F13" i="5"/>
  <c r="F18" i="5"/>
  <c r="F28" i="5"/>
  <c r="F41" i="5"/>
  <c r="F52" i="5"/>
  <c r="F5" i="5"/>
  <c r="E5" i="5" s="1"/>
  <c r="F14" i="5"/>
  <c r="F25" i="5"/>
  <c r="F29" i="5"/>
  <c r="F37" i="5"/>
  <c r="F46" i="5"/>
  <c r="F6" i="5"/>
  <c r="F16" i="5"/>
  <c r="F22" i="5"/>
  <c r="F31" i="5"/>
  <c r="F38" i="5"/>
  <c r="F50" i="5"/>
  <c r="E5" i="4"/>
  <c r="E6" i="4" s="1"/>
  <c r="B53" i="4"/>
  <c r="A53" i="4" s="1"/>
  <c r="V43" i="3"/>
  <c r="BS44" i="3"/>
  <c r="V44" i="3" s="1"/>
  <c r="U43" i="3" s="1" a="1"/>
  <c r="U43" i="3" s="1"/>
  <c r="AA70" i="3"/>
  <c r="AD68" i="3"/>
  <c r="AG68" i="3" s="1"/>
  <c r="AG70" i="3" s="1"/>
  <c r="V91" i="3"/>
  <c r="AB93" i="3"/>
  <c r="X74" i="3"/>
  <c r="X95" i="3"/>
  <c r="X71" i="3"/>
  <c r="I7" i="2" a="1"/>
  <c r="I7" i="2" s="1"/>
  <c r="BS95" i="3"/>
  <c r="E6" i="5" l="1"/>
  <c r="E7" i="5" s="1"/>
  <c r="AA95" i="3"/>
  <c r="AG95" i="3"/>
  <c r="S43" i="3"/>
  <c r="E7" i="4"/>
  <c r="AD70" i="3"/>
  <c r="AJ68" i="3"/>
  <c r="X96" i="3"/>
  <c r="X99" i="3"/>
  <c r="I8" i="2" a="1"/>
  <c r="I8" i="2" s="1"/>
  <c r="V93" i="3"/>
  <c r="AB95" i="3"/>
  <c r="Y71" i="3"/>
  <c r="Z71" i="3" s="1"/>
  <c r="AA71" i="3" s="1"/>
  <c r="AB71" i="3" s="1"/>
  <c r="AC71" i="3" s="1"/>
  <c r="E8" i="5" l="1"/>
  <c r="E9" i="5" s="1"/>
  <c r="E10" i="5" s="1"/>
  <c r="AD95" i="3"/>
  <c r="E8" i="4"/>
  <c r="AD71" i="3"/>
  <c r="AE71" i="3" s="1"/>
  <c r="AF71" i="3" s="1"/>
  <c r="AG71" i="3" s="1"/>
  <c r="AH71" i="3" s="1"/>
  <c r="AI71" i="3" s="1"/>
  <c r="Y96" i="3"/>
  <c r="Z96" i="3" s="1"/>
  <c r="AA96" i="3" s="1"/>
  <c r="AB96" i="3" s="1"/>
  <c r="AC96" i="3" s="1"/>
  <c r="AJ70" i="3"/>
  <c r="AM68" i="3"/>
  <c r="E9" i="4" l="1"/>
  <c r="AD96" i="3"/>
  <c r="AE96" i="3" s="1"/>
  <c r="AF96" i="3" s="1"/>
  <c r="AG96" i="3" s="1"/>
  <c r="AH96" i="3" s="1"/>
  <c r="AI96" i="3" s="1"/>
  <c r="E11" i="5"/>
  <c r="AM70" i="3"/>
  <c r="AP68" i="3"/>
  <c r="AJ95" i="3"/>
  <c r="AJ71" i="3"/>
  <c r="E10" i="4" l="1"/>
  <c r="AM95" i="3"/>
  <c r="AJ96" i="3"/>
  <c r="AK96" i="3" s="1"/>
  <c r="AL96" i="3" s="1"/>
  <c r="E12" i="5"/>
  <c r="AK71" i="3"/>
  <c r="AL71" i="3" s="1"/>
  <c r="AM71" i="3" s="1"/>
  <c r="AN71" i="3" s="1"/>
  <c r="AO71" i="3" s="1"/>
  <c r="AP70" i="3"/>
  <c r="AS68" i="3"/>
  <c r="E11" i="4" l="1"/>
  <c r="AM96" i="3"/>
  <c r="AN96" i="3" s="1"/>
  <c r="AO96" i="3" s="1"/>
  <c r="AP95" i="3"/>
  <c r="E13" i="5"/>
  <c r="AS70" i="3"/>
  <c r="AV68" i="3"/>
  <c r="AP71" i="3"/>
  <c r="AQ71" i="3" s="1"/>
  <c r="AR71" i="3" s="1"/>
  <c r="E12" i="4" l="1"/>
  <c r="AP96" i="3"/>
  <c r="AQ96" i="3" s="1"/>
  <c r="AR96" i="3" s="1"/>
  <c r="AS95" i="3"/>
  <c r="E14" i="5"/>
  <c r="E15" i="5" s="1"/>
  <c r="E16" i="5" s="1"/>
  <c r="E17" i="5" s="1"/>
  <c r="E18" i="5" s="1"/>
  <c r="E19" i="5" s="1"/>
  <c r="E20" i="5" s="1"/>
  <c r="E21" i="5" s="1"/>
  <c r="E22" i="5" s="1"/>
  <c r="E23" i="5" s="1"/>
  <c r="E24" i="5" s="1"/>
  <c r="E25" i="5" s="1"/>
  <c r="E26" i="5" s="1"/>
  <c r="E27" i="5" s="1"/>
  <c r="E28" i="5" s="1"/>
  <c r="E29" i="5" s="1"/>
  <c r="E30" i="5" s="1"/>
  <c r="E31" i="5" s="1"/>
  <c r="E32" i="5" s="1"/>
  <c r="E33" i="5" s="1"/>
  <c r="E34" i="5" s="1"/>
  <c r="E35" i="5" s="1"/>
  <c r="E36" i="5" s="1"/>
  <c r="E37" i="5" s="1"/>
  <c r="E38" i="5" s="1"/>
  <c r="E39" i="5" s="1"/>
  <c r="E40" i="5" s="1"/>
  <c r="E41" i="5" s="1"/>
  <c r="E42" i="5" s="1"/>
  <c r="E43" i="5" s="1"/>
  <c r="E44" i="5" s="1"/>
  <c r="E45" i="5" s="1"/>
  <c r="E46" i="5" s="1"/>
  <c r="E47" i="5" s="1"/>
  <c r="E48" i="5" s="1"/>
  <c r="E49" i="5" s="1"/>
  <c r="E50" i="5" s="1"/>
  <c r="E51" i="5" s="1"/>
  <c r="E52" i="5" s="1"/>
  <c r="E53" i="5" s="1"/>
  <c r="AS71" i="3"/>
  <c r="AT71" i="3" s="1"/>
  <c r="AU71" i="3" s="1"/>
  <c r="AV70" i="3"/>
  <c r="AY68" i="3"/>
  <c r="E13" i="4" l="1"/>
  <c r="AS96" i="3"/>
  <c r="AT96" i="3" s="1"/>
  <c r="AU96" i="3" s="1"/>
  <c r="AV95" i="3"/>
  <c r="AV71" i="3"/>
  <c r="AW71" i="3" s="1"/>
  <c r="AX71" i="3" s="1"/>
  <c r="AY70" i="3"/>
  <c r="BB68" i="3"/>
  <c r="E14" i="4" l="1"/>
  <c r="E15" i="4" s="1"/>
  <c r="E16" i="4" s="1"/>
  <c r="E17" i="4" s="1"/>
  <c r="E18" i="4" s="1"/>
  <c r="E19" i="4" s="1"/>
  <c r="AV96" i="3"/>
  <c r="AW96" i="3" s="1"/>
  <c r="AX96" i="3" s="1"/>
  <c r="AY95" i="3"/>
  <c r="AY71" i="3"/>
  <c r="AZ71" i="3" s="1"/>
  <c r="BA71" i="3" s="1"/>
  <c r="BB70" i="3"/>
  <c r="BE68" i="3"/>
  <c r="E20" i="4" l="1"/>
  <c r="E21" i="4" s="1"/>
  <c r="E22" i="4" s="1"/>
  <c r="E23" i="4" s="1"/>
  <c r="E24" i="4" s="1"/>
  <c r="E25" i="4" s="1"/>
  <c r="E26" i="4" s="1"/>
  <c r="E27" i="4" s="1"/>
  <c r="E28" i="4" s="1"/>
  <c r="E29" i="4" s="1"/>
  <c r="E30" i="4" s="1"/>
  <c r="E31" i="4" s="1"/>
  <c r="E32" i="4" s="1"/>
  <c r="E33" i="4" s="1"/>
  <c r="E34" i="4" s="1"/>
  <c r="E35" i="4" s="1"/>
  <c r="E36" i="4" s="1"/>
  <c r="E37" i="4" s="1"/>
  <c r="E38" i="4" s="1"/>
  <c r="E39" i="4" s="1"/>
  <c r="E40" i="4" s="1"/>
  <c r="E41" i="4" s="1"/>
  <c r="E42" i="4" s="1"/>
  <c r="E43" i="4" s="1"/>
  <c r="E44" i="4" s="1"/>
  <c r="E45" i="4" s="1"/>
  <c r="E46" i="4" s="1"/>
  <c r="E47" i="4" s="1"/>
  <c r="E48" i="4" s="1"/>
  <c r="E49" i="4" s="1"/>
  <c r="E50" i="4" s="1"/>
  <c r="E51" i="4" s="1"/>
  <c r="E52" i="4" s="1"/>
  <c r="E53" i="4" s="1"/>
  <c r="AY96" i="3"/>
  <c r="AZ96" i="3" s="1"/>
  <c r="BA96" i="3" s="1"/>
  <c r="BB95" i="3"/>
  <c r="BE70" i="3"/>
  <c r="BH68" i="3"/>
  <c r="BB71" i="3"/>
  <c r="BC71" i="3" s="1"/>
  <c r="BD71" i="3" s="1"/>
  <c r="BB96" i="3" l="1"/>
  <c r="BC96" i="3" s="1"/>
  <c r="BD96" i="3" s="1"/>
  <c r="BE95" i="3"/>
  <c r="BE71" i="3"/>
  <c r="BF71" i="3" s="1"/>
  <c r="BG71" i="3" s="1"/>
  <c r="BH70" i="3"/>
  <c r="BK68" i="3"/>
  <c r="BE96" i="3" l="1"/>
  <c r="BF96" i="3" s="1"/>
  <c r="BG96" i="3" s="1"/>
  <c r="L8" i="2" s="1"/>
  <c r="BH95" i="3"/>
  <c r="BK70" i="3"/>
  <c r="BN68" i="3"/>
  <c r="BH71" i="3"/>
  <c r="BI71" i="3" s="1"/>
  <c r="BJ71" i="3" s="1"/>
  <c r="L7" i="2"/>
  <c r="BH96" i="3" l="1"/>
  <c r="BI96" i="3" s="1"/>
  <c r="BJ96" i="3" s="1"/>
  <c r="BK95" i="3"/>
  <c r="BN70" i="3"/>
  <c r="BQ68" i="3"/>
  <c r="BK71" i="3"/>
  <c r="BL71" i="3" s="1"/>
  <c r="BM71" i="3" s="1"/>
  <c r="BK96" i="3" l="1"/>
  <c r="BL96" i="3" s="1"/>
  <c r="BM96" i="3" s="1"/>
  <c r="BN95" i="3"/>
  <c r="BN71" i="3"/>
  <c r="BO71" i="3" s="1"/>
  <c r="BP71" i="3" s="1"/>
  <c r="BQ70" i="3"/>
  <c r="V68" i="3"/>
  <c r="BN96" i="3" l="1"/>
  <c r="BO96" i="3" s="1"/>
  <c r="BP96" i="3" s="1"/>
  <c r="D7" i="2"/>
  <c r="D13" i="2"/>
  <c r="D8" i="2"/>
  <c r="D14" i="2"/>
  <c r="BQ95" i="3"/>
  <c r="V70" i="3"/>
  <c r="BQ71" i="3"/>
  <c r="BR71" i="3" s="1"/>
  <c r="BS71" i="3" s="1"/>
  <c r="U99" i="3" l="1"/>
  <c r="S70" i="3"/>
  <c r="U74" i="3"/>
  <c r="J7" i="2"/>
  <c r="V71" i="3"/>
  <c r="U70" i="3" s="1" a="1"/>
  <c r="U70" i="3" s="1"/>
  <c r="H7" i="2" s="1"/>
  <c r="F7" i="2"/>
  <c r="K7" i="2" s="1"/>
  <c r="V95" i="3"/>
  <c r="BQ96" i="3"/>
  <c r="BR96" i="3" s="1"/>
  <c r="BS96" i="3" s="1"/>
  <c r="X101" i="3"/>
  <c r="S95" i="3" l="1"/>
  <c r="J8" i="2"/>
  <c r="V96" i="3"/>
  <c r="U95" i="3" s="1" a="1"/>
  <c r="U95" i="3" s="1"/>
  <c r="H8" i="2" s="1"/>
  <c r="F8" i="2"/>
  <c r="K8" i="2" s="1"/>
  <c r="AA101" i="3"/>
  <c r="Y101" i="3"/>
  <c r="E13" i="2" l="1"/>
  <c r="E8" i="2"/>
  <c r="G8" i="2" s="1"/>
  <c r="E7" i="2"/>
  <c r="G7" i="2" s="1"/>
  <c r="E14" i="2"/>
  <c r="AS76" i="3"/>
  <c r="AP76" i="3"/>
  <c r="AQ76" i="3"/>
  <c r="AO101" i="3"/>
  <c r="AV76" i="3"/>
  <c r="AU101" i="3"/>
  <c r="AL101" i="3"/>
  <c r="AO76" i="3"/>
  <c r="AR101" i="3"/>
  <c r="AW76" i="3"/>
  <c r="Z101" i="3"/>
  <c r="AG101" i="3"/>
  <c r="AB101" i="3"/>
  <c r="AQ101" i="3"/>
  <c r="AH76" i="3"/>
  <c r="AT76" i="3"/>
  <c r="AA76" i="3"/>
  <c r="AE101" i="3"/>
  <c r="AI101" i="3"/>
  <c r="X75" i="3"/>
  <c r="X100" i="3"/>
  <c r="AU76" i="3"/>
  <c r="AT101" i="3"/>
  <c r="AK76" i="3"/>
  <c r="AC76" i="3"/>
  <c r="AI76" i="3"/>
  <c r="AP101" i="3"/>
  <c r="Y76" i="3"/>
  <c r="AN101" i="3"/>
  <c r="AK101" i="3"/>
  <c r="AB76" i="3"/>
  <c r="AM76" i="3"/>
  <c r="Z76" i="3"/>
  <c r="AE76" i="3"/>
  <c r="AJ76" i="3"/>
  <c r="AL76" i="3"/>
  <c r="AV101" i="3"/>
  <c r="AR76" i="3"/>
  <c r="AS101" i="3"/>
  <c r="AF101" i="3"/>
  <c r="X76" i="3"/>
  <c r="AG76" i="3"/>
  <c r="AY101" i="3"/>
  <c r="AM101" i="3"/>
  <c r="AY76" i="3"/>
  <c r="AN76" i="3"/>
  <c r="AC101" i="3"/>
  <c r="AW101" i="3"/>
  <c r="AJ101" i="3"/>
  <c r="AF76" i="3"/>
  <c r="AD101" i="3"/>
  <c r="AD76" i="3"/>
  <c r="AH101" i="3"/>
  <c r="X103" i="3" l="1"/>
  <c r="X104" i="3" s="1"/>
  <c r="X102" i="3"/>
  <c r="Y99" i="3" s="1"/>
  <c r="Y103" i="3"/>
  <c r="X78" i="3"/>
  <c r="X79" i="3" s="1"/>
  <c r="Y78" i="3"/>
  <c r="X77" i="3"/>
  <c r="Y74" i="3" s="1"/>
  <c r="Y77" i="3" s="1"/>
  <c r="Z74" i="3" s="1"/>
  <c r="Z77" i="3" s="1"/>
  <c r="AA74" i="3" s="1"/>
  <c r="AA77" i="3" s="1"/>
  <c r="AB74" i="3" s="1"/>
  <c r="AB77" i="3" s="1"/>
  <c r="AC74" i="3" s="1"/>
  <c r="AC77" i="3" s="1"/>
  <c r="AD74" i="3" s="1"/>
  <c r="AY103" i="3"/>
  <c r="AY78" i="3"/>
  <c r="AW103" i="3"/>
  <c r="AW78" i="3"/>
  <c r="AU103" i="3"/>
  <c r="AT103" i="3"/>
  <c r="AU78" i="3"/>
  <c r="AS103" i="3"/>
  <c r="AT78" i="3"/>
  <c r="AS78" i="3"/>
  <c r="AR103" i="3"/>
  <c r="AR78" i="3"/>
  <c r="AQ103" i="3"/>
  <c r="AQ78" i="3"/>
  <c r="AO103" i="3"/>
  <c r="AO78" i="3"/>
  <c r="AN103" i="3"/>
  <c r="AN78" i="3"/>
  <c r="AM103" i="3"/>
  <c r="AM78" i="3"/>
  <c r="AL103" i="3"/>
  <c r="AL78" i="3"/>
  <c r="AK103" i="3"/>
  <c r="AK78" i="3"/>
  <c r="AI103" i="3"/>
  <c r="AH103" i="3"/>
  <c r="AI78" i="3"/>
  <c r="AH78" i="3"/>
  <c r="AG103" i="3"/>
  <c r="AG78" i="3"/>
  <c r="AF103" i="3"/>
  <c r="AE103" i="3"/>
  <c r="AF78" i="3"/>
  <c r="AE78" i="3"/>
  <c r="AC103" i="3"/>
  <c r="AC78" i="3"/>
  <c r="AB103" i="3"/>
  <c r="AB78" i="3"/>
  <c r="AA103" i="3"/>
  <c r="AA78" i="3"/>
  <c r="Z103" i="3"/>
  <c r="Z78" i="3"/>
  <c r="AD75" i="3"/>
  <c r="Y102" i="3" l="1"/>
  <c r="Z99" i="3" s="1"/>
  <c r="Z102" i="3" s="1"/>
  <c r="AA99" i="3" s="1"/>
  <c r="AA102" i="3" s="1"/>
  <c r="AB99" i="3" s="1"/>
  <c r="AB102" i="3" s="1"/>
  <c r="AC99" i="3" s="1"/>
  <c r="AC102" i="3" s="1"/>
  <c r="AD99" i="3" s="1"/>
  <c r="Y79" i="3"/>
  <c r="Z79" i="3" s="1"/>
  <c r="AA79" i="3" s="1"/>
  <c r="AB79" i="3" s="1"/>
  <c r="AC79" i="3" s="1"/>
  <c r="AD78" i="3"/>
  <c r="AD77" i="3"/>
  <c r="AE74" i="3" s="1"/>
  <c r="AE77" i="3" s="1"/>
  <c r="AF74" i="3" s="1"/>
  <c r="AF77" i="3" s="1"/>
  <c r="AG74" i="3" s="1"/>
  <c r="AG77" i="3" s="1"/>
  <c r="AH74" i="3" s="1"/>
  <c r="AH77" i="3" s="1"/>
  <c r="AI74" i="3" s="1"/>
  <c r="AI77" i="3" s="1"/>
  <c r="AJ74" i="3" s="1"/>
  <c r="Y104" i="3"/>
  <c r="Z104" i="3" s="1"/>
  <c r="AA104" i="3" s="1"/>
  <c r="AB104" i="3" s="1"/>
  <c r="AC104" i="3" s="1"/>
  <c r="AD100" i="3"/>
  <c r="AD103" i="3" l="1"/>
  <c r="AD104" i="3" s="1"/>
  <c r="AE104" i="3" s="1"/>
  <c r="AF104" i="3" s="1"/>
  <c r="AG104" i="3" s="1"/>
  <c r="AH104" i="3" s="1"/>
  <c r="AI104" i="3" s="1"/>
  <c r="AD102" i="3"/>
  <c r="AE99" i="3" s="1"/>
  <c r="AE102" i="3" s="1"/>
  <c r="AF99" i="3" s="1"/>
  <c r="AF102" i="3" s="1"/>
  <c r="AG99" i="3" s="1"/>
  <c r="AG102" i="3" s="1"/>
  <c r="AH99" i="3" s="1"/>
  <c r="AH102" i="3" s="1"/>
  <c r="AI99" i="3" s="1"/>
  <c r="AI102" i="3" s="1"/>
  <c r="AJ99" i="3" s="1"/>
  <c r="AD79" i="3"/>
  <c r="AE79" i="3" s="1"/>
  <c r="AF79" i="3" s="1"/>
  <c r="AG79" i="3" s="1"/>
  <c r="AH79" i="3" s="1"/>
  <c r="AI79" i="3" s="1"/>
  <c r="AJ75" i="3"/>
  <c r="AJ100" i="3"/>
  <c r="AJ103" i="3" l="1"/>
  <c r="AJ104" i="3" s="1"/>
  <c r="AK104" i="3" s="1"/>
  <c r="AL104" i="3" s="1"/>
  <c r="AM104" i="3" s="1"/>
  <c r="AN104" i="3" s="1"/>
  <c r="AO104" i="3" s="1"/>
  <c r="AJ102" i="3"/>
  <c r="AK99" i="3" s="1"/>
  <c r="AK102" i="3" s="1"/>
  <c r="AL99" i="3" s="1"/>
  <c r="AL102" i="3" s="1"/>
  <c r="AM99" i="3" s="1"/>
  <c r="AM102" i="3" s="1"/>
  <c r="AN99" i="3" s="1"/>
  <c r="AN102" i="3" s="1"/>
  <c r="AO99" i="3" s="1"/>
  <c r="AO102" i="3" s="1"/>
  <c r="AP99" i="3" s="1"/>
  <c r="AJ78" i="3"/>
  <c r="AJ79" i="3" s="1"/>
  <c r="AK79" i="3" s="1"/>
  <c r="AL79" i="3" s="1"/>
  <c r="AM79" i="3" s="1"/>
  <c r="AN79" i="3" s="1"/>
  <c r="AO79" i="3" s="1"/>
  <c r="AJ77" i="3"/>
  <c r="AK74" i="3" s="1"/>
  <c r="AK77" i="3" s="1"/>
  <c r="AL74" i="3" s="1"/>
  <c r="AL77" i="3" s="1"/>
  <c r="AM74" i="3" s="1"/>
  <c r="AM77" i="3" s="1"/>
  <c r="AN74" i="3" s="1"/>
  <c r="AN77" i="3" s="1"/>
  <c r="AO74" i="3" s="1"/>
  <c r="AO77" i="3" s="1"/>
  <c r="AP74" i="3" s="1"/>
  <c r="AP75" i="3"/>
  <c r="AP100" i="3"/>
  <c r="AP103" i="3" l="1"/>
  <c r="AP104" i="3" s="1"/>
  <c r="AQ104" i="3" s="1"/>
  <c r="AR104" i="3" s="1"/>
  <c r="AS104" i="3" s="1"/>
  <c r="AT104" i="3" s="1"/>
  <c r="AU104" i="3" s="1"/>
  <c r="AP102" i="3"/>
  <c r="AQ99" i="3" s="1"/>
  <c r="AQ102" i="3" s="1"/>
  <c r="AR99" i="3" s="1"/>
  <c r="AR102" i="3" s="1"/>
  <c r="AS99" i="3" s="1"/>
  <c r="AS102" i="3" s="1"/>
  <c r="AT99" i="3" s="1"/>
  <c r="AT102" i="3" s="1"/>
  <c r="AU99" i="3" s="1"/>
  <c r="AU102" i="3" s="1"/>
  <c r="AV99" i="3" s="1"/>
  <c r="AP78" i="3"/>
  <c r="AP79" i="3" s="1"/>
  <c r="AQ79" i="3" s="1"/>
  <c r="AR79" i="3" s="1"/>
  <c r="AS79" i="3" s="1"/>
  <c r="AT79" i="3" s="1"/>
  <c r="AU79" i="3" s="1"/>
  <c r="AP77" i="3"/>
  <c r="AQ74" i="3" s="1"/>
  <c r="AQ77" i="3" s="1"/>
  <c r="AR74" i="3" s="1"/>
  <c r="AR77" i="3" s="1"/>
  <c r="AS74" i="3" s="1"/>
  <c r="AS77" i="3" s="1"/>
  <c r="AT74" i="3" s="1"/>
  <c r="AT77" i="3" s="1"/>
  <c r="AU74" i="3" s="1"/>
  <c r="AU77" i="3" s="1"/>
  <c r="AV74" i="3" s="1"/>
  <c r="AV75" i="3"/>
  <c r="AV100" i="3"/>
  <c r="AV103" i="3" l="1"/>
  <c r="AV104" i="3" s="1"/>
  <c r="AW104" i="3" s="1"/>
  <c r="AV102" i="3"/>
  <c r="AW99" i="3" s="1"/>
  <c r="AW102" i="3" s="1"/>
  <c r="AX99" i="3" s="1"/>
  <c r="AV78" i="3"/>
  <c r="AV79" i="3" s="1"/>
  <c r="AW79" i="3" s="1"/>
  <c r="AV77" i="3"/>
  <c r="AW74" i="3" s="1"/>
  <c r="AW77" i="3" s="1"/>
  <c r="AX74" i="3" s="1"/>
  <c r="AX76" i="3"/>
  <c r="AX101" i="3"/>
  <c r="AX103" i="3" l="1"/>
  <c r="AX104" i="3" s="1"/>
  <c r="AY104" i="3" s="1"/>
  <c r="AX102" i="3"/>
  <c r="AY99" i="3" s="1"/>
  <c r="AY102" i="3" s="1"/>
  <c r="AZ99" i="3" s="1"/>
  <c r="AX78" i="3"/>
  <c r="AX79" i="3" s="1"/>
  <c r="AY79" i="3" s="1"/>
  <c r="AX77" i="3"/>
  <c r="AY74" i="3" s="1"/>
  <c r="AY77" i="3" s="1"/>
  <c r="AZ74" i="3" s="1"/>
  <c r="AZ76" i="3"/>
  <c r="AZ101" i="3"/>
  <c r="AZ103" i="3" l="1"/>
  <c r="AZ104" i="3" s="1"/>
  <c r="AZ102" i="3"/>
  <c r="BA99" i="3" s="1"/>
  <c r="AZ78" i="3"/>
  <c r="AZ79" i="3" s="1"/>
  <c r="AZ77" i="3"/>
  <c r="BA74" i="3" s="1"/>
  <c r="BA76" i="3"/>
  <c r="BA101" i="3"/>
  <c r="BA103" i="3" l="1"/>
  <c r="BA104" i="3" s="1"/>
  <c r="BA102" i="3"/>
  <c r="BB99" i="3" s="1"/>
  <c r="BA78" i="3"/>
  <c r="BA79" i="3" s="1"/>
  <c r="BA77" i="3"/>
  <c r="BB74" i="3" s="1"/>
  <c r="BB100" i="3"/>
  <c r="BB75" i="3"/>
  <c r="BB76" i="3"/>
  <c r="BB101" i="3"/>
  <c r="BB103" i="3" l="1"/>
  <c r="BB104" i="3" s="1"/>
  <c r="BB102" i="3"/>
  <c r="BC99" i="3" s="1"/>
  <c r="BB78" i="3"/>
  <c r="BB79" i="3" s="1"/>
  <c r="BB77" i="3"/>
  <c r="BC74" i="3" s="1"/>
  <c r="BC76" i="3"/>
  <c r="BC101" i="3"/>
  <c r="BC103" i="3" l="1"/>
  <c r="BC104" i="3" s="1"/>
  <c r="BC102" i="3"/>
  <c r="BD99" i="3" s="1"/>
  <c r="BC78" i="3"/>
  <c r="BC79" i="3" s="1"/>
  <c r="BC77" i="3"/>
  <c r="BD74" i="3" s="1"/>
  <c r="BD76" i="3"/>
  <c r="BD101" i="3"/>
  <c r="BD102" i="3" l="1"/>
  <c r="BE99" i="3" s="1"/>
  <c r="BD103" i="3"/>
  <c r="BD104" i="3" s="1"/>
  <c r="BD78" i="3"/>
  <c r="BD79" i="3" s="1"/>
  <c r="BD77" i="3"/>
  <c r="BE74" i="3" s="1"/>
  <c r="BE101" i="3"/>
  <c r="BE76" i="3"/>
  <c r="BE103" i="3" l="1"/>
  <c r="BE104" i="3" s="1"/>
  <c r="BE102" i="3"/>
  <c r="BF99" i="3" s="1"/>
  <c r="BE78" i="3"/>
  <c r="BE79" i="3" s="1"/>
  <c r="BE77" i="3"/>
  <c r="BF74" i="3" s="1"/>
  <c r="BF101" i="3"/>
  <c r="BF76" i="3"/>
  <c r="BF102" i="3" l="1"/>
  <c r="BG99" i="3" s="1"/>
  <c r="BF103" i="3"/>
  <c r="BF104" i="3" s="1"/>
  <c r="BF78" i="3"/>
  <c r="BF79" i="3" s="1"/>
  <c r="BF77" i="3"/>
  <c r="BG74" i="3" s="1"/>
  <c r="BG101" i="3"/>
  <c r="BG76" i="3"/>
  <c r="BG103" i="3" l="1"/>
  <c r="BG104" i="3" s="1"/>
  <c r="BG102" i="3"/>
  <c r="BH99" i="3" s="1"/>
  <c r="BG78" i="3"/>
  <c r="BG79" i="3" s="1"/>
  <c r="BG77" i="3"/>
  <c r="BH74" i="3" s="1"/>
  <c r="BH75" i="3"/>
  <c r="BH101" i="3"/>
  <c r="BH100" i="3"/>
  <c r="BH76" i="3"/>
  <c r="BH103" i="3" l="1"/>
  <c r="BH104" i="3" s="1"/>
  <c r="BH102" i="3"/>
  <c r="BI99" i="3" s="1"/>
  <c r="BH78" i="3"/>
  <c r="BH79" i="3" s="1"/>
  <c r="BH77" i="3"/>
  <c r="BI74" i="3" s="1"/>
  <c r="BI76" i="3"/>
  <c r="BI101" i="3"/>
  <c r="BI103" i="3" l="1"/>
  <c r="BI104" i="3" s="1"/>
  <c r="BI102" i="3"/>
  <c r="BJ99" i="3" s="1"/>
  <c r="BI78" i="3"/>
  <c r="BI79" i="3" s="1"/>
  <c r="BI77" i="3"/>
  <c r="BJ74" i="3" s="1"/>
  <c r="BJ101" i="3"/>
  <c r="BJ76" i="3"/>
  <c r="BJ103" i="3" l="1"/>
  <c r="BJ104" i="3" s="1"/>
  <c r="BJ102" i="3"/>
  <c r="BK99" i="3" s="1"/>
  <c r="BJ78" i="3"/>
  <c r="BJ79" i="3" s="1"/>
  <c r="BJ77" i="3"/>
  <c r="BK74" i="3" s="1"/>
  <c r="BK76" i="3"/>
  <c r="BK101" i="3"/>
  <c r="BK103" i="3" l="1"/>
  <c r="BK104" i="3" s="1"/>
  <c r="BK102" i="3"/>
  <c r="BL99" i="3" s="1"/>
  <c r="BK78" i="3"/>
  <c r="BK79" i="3" s="1"/>
  <c r="BK77" i="3"/>
  <c r="BL74" i="3" s="1"/>
  <c r="BL101" i="3"/>
  <c r="BL76" i="3"/>
  <c r="BL103" i="3" l="1"/>
  <c r="BL104" i="3" s="1"/>
  <c r="BL102" i="3"/>
  <c r="BM99" i="3" s="1"/>
  <c r="BL78" i="3"/>
  <c r="BL79" i="3" s="1"/>
  <c r="BL77" i="3"/>
  <c r="BM74" i="3" s="1"/>
  <c r="BM76" i="3"/>
  <c r="BM101" i="3"/>
  <c r="BM103" i="3" l="1"/>
  <c r="BM104" i="3" s="1"/>
  <c r="BM102" i="3"/>
  <c r="BN99" i="3" s="1"/>
  <c r="BM78" i="3"/>
  <c r="BM79" i="3" s="1"/>
  <c r="BM77" i="3"/>
  <c r="BN74" i="3" s="1"/>
  <c r="BN101" i="3"/>
  <c r="BN76" i="3"/>
  <c r="BN75" i="3"/>
  <c r="BN100" i="3"/>
  <c r="V100" i="3" l="1"/>
  <c r="BN102" i="3"/>
  <c r="BO99" i="3" s="1"/>
  <c r="BN103" i="3"/>
  <c r="BN104" i="3" s="1"/>
  <c r="BN78" i="3"/>
  <c r="BN79" i="3" s="1"/>
  <c r="V75" i="3"/>
  <c r="BN77" i="3"/>
  <c r="BO74" i="3" s="1"/>
  <c r="BO101" i="3"/>
  <c r="BO76" i="3"/>
  <c r="BO103" i="3" l="1"/>
  <c r="BO104" i="3" s="1"/>
  <c r="BO102" i="3"/>
  <c r="BP99" i="3" s="1"/>
  <c r="BO78" i="3"/>
  <c r="BO79" i="3" s="1"/>
  <c r="BO77" i="3"/>
  <c r="BP74" i="3" s="1"/>
  <c r="BP101" i="3"/>
  <c r="BP76" i="3"/>
  <c r="BP103" i="3" l="1"/>
  <c r="BP104" i="3" s="1"/>
  <c r="BP102" i="3"/>
  <c r="BQ99" i="3" s="1"/>
  <c r="BP78" i="3"/>
  <c r="BP79" i="3" s="1"/>
  <c r="BP77" i="3"/>
  <c r="BQ74" i="3" s="1"/>
  <c r="BQ76" i="3"/>
  <c r="BQ101" i="3"/>
  <c r="BQ103" i="3" l="1"/>
  <c r="BQ104" i="3" s="1"/>
  <c r="BQ102" i="3"/>
  <c r="BR99" i="3" s="1"/>
  <c r="BQ78" i="3"/>
  <c r="BQ79" i="3" s="1"/>
  <c r="BQ77" i="3"/>
  <c r="BR74" i="3" s="1"/>
  <c r="BR76" i="3"/>
  <c r="BR101" i="3"/>
  <c r="BR103" i="3" l="1"/>
  <c r="BR104" i="3" s="1"/>
  <c r="BR102" i="3"/>
  <c r="BS99" i="3" s="1"/>
  <c r="BR78" i="3"/>
  <c r="BR79" i="3" s="1"/>
  <c r="BR77" i="3"/>
  <c r="BS74" i="3" s="1"/>
  <c r="BS101" i="3"/>
  <c r="BS76" i="3"/>
  <c r="V101" i="3" l="1"/>
  <c r="BS103" i="3"/>
  <c r="I14" i="2" s="1" a="1"/>
  <c r="I14" i="2" s="1"/>
  <c r="BS102" i="3"/>
  <c r="BS78" i="3"/>
  <c r="V78" i="3" s="1"/>
  <c r="V76" i="3"/>
  <c r="BS77" i="3"/>
  <c r="I13" i="2" l="1" a="1"/>
  <c r="I13" i="2" s="1"/>
  <c r="BS104" i="3"/>
  <c r="L14" i="2" s="1"/>
  <c r="V103" i="3"/>
  <c r="BS79" i="3"/>
  <c r="V79" i="3" s="1"/>
  <c r="U78" i="3" s="1" a="1"/>
  <c r="U78" i="3" s="1"/>
  <c r="H13" i="2" s="1"/>
  <c r="L13" i="2"/>
  <c r="J13" i="2"/>
  <c r="F14" i="2" l="1"/>
  <c r="K14" i="2" s="1"/>
  <c r="S103" i="3"/>
  <c r="J14" i="2"/>
  <c r="V104" i="3"/>
  <c r="U103" i="3" s="1" a="1"/>
  <c r="U103" i="3" s="1"/>
  <c r="H14" i="2" s="1"/>
  <c r="F13" i="2"/>
  <c r="S78" i="3"/>
  <c r="G14" i="2" l="1"/>
  <c r="G13" i="2"/>
  <c r="K1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Daniela Gavidia</author>
  </authors>
  <commentList>
    <comment ref="X3" authorId="0" shapeId="0" xr:uid="{D643733C-9E32-40D6-941B-488E3F5579A3}">
      <text>
        <r>
          <rPr>
            <b/>
            <sz val="9"/>
            <color indexed="81"/>
            <rFont val="Tahoma"/>
            <family val="2"/>
          </rPr>
          <t>Alfredo Calzadilla:</t>
        </r>
        <r>
          <rPr>
            <sz val="9"/>
            <color indexed="81"/>
            <rFont val="Tahoma"/>
            <family val="2"/>
          </rPr>
          <t xml:space="preserve">
In this section, all projections are driven by formulas and no data should be hard-coded, except for actuals data, but only when applicable.</t>
        </r>
      </text>
    </comment>
    <comment ref="J4" authorId="0" shapeId="0" xr:uid="{7B9600E6-ACF8-4B04-8F49-206A4C5F6814}">
      <text>
        <r>
          <rPr>
            <b/>
            <sz val="9"/>
            <color indexed="81"/>
            <rFont val="Tahoma"/>
            <family val="2"/>
          </rPr>
          <t xml:space="preserve">Alfredo Calzadilla:
</t>
        </r>
        <r>
          <rPr>
            <sz val="9"/>
            <color indexed="81"/>
            <rFont val="Tahoma"/>
            <family val="2"/>
          </rPr>
          <t>All variables and assumptions must be entered in this section.</t>
        </r>
      </text>
    </comment>
    <comment ref="P4" authorId="0" shapeId="0" xr:uid="{A1A2BB1D-6B65-4066-A1EF-52A1C2C82BBF}">
      <text>
        <r>
          <rPr>
            <b/>
            <sz val="9"/>
            <color indexed="81"/>
            <rFont val="Tahoma"/>
            <family val="2"/>
          </rPr>
          <t xml:space="preserve">Alfredo Calzadilla:
</t>
        </r>
        <r>
          <rPr>
            <sz val="9"/>
            <color indexed="81"/>
            <rFont val="Tahoma"/>
            <family val="2"/>
          </rPr>
          <t>All variables and assumptions must be entered in this section.</t>
        </r>
      </text>
    </comment>
  </commentList>
</comments>
</file>

<file path=xl/sharedStrings.xml><?xml version="1.0" encoding="utf-8"?>
<sst xmlns="http://schemas.openxmlformats.org/spreadsheetml/2006/main" count="359" uniqueCount="189">
  <si>
    <t>Copyright © 2020 Alfredo J Calzadilla. All Rights Reserved.</t>
  </si>
  <si>
    <t>The budget for all other direct and indirect costs (R&amp;D, Technical,  Leasing, SG&amp;A and Other expenses) will total 4.2M and will be spent in the following way:</t>
  </si>
  <si>
    <t>- R&amp;D Expenses: 500k allocated in equal monthly amounts starting in February of 2021 and ending in July of 2021.</t>
  </si>
  <si>
    <t xml:space="preserve">- Technical Expenses: These expenses are divided into 3 different sub-categories: </t>
  </si>
  <si>
    <t xml:space="preserve">. Technical consulting: Estimated at 750K, these expenses will start on February of 2021 and run through January of 2023. The cash flow distribution of these expenses will follow a logistic S-curve with a slope of 25%, and a peak in January of 2022. VAT is applicable on consulting expenses at a 19% rate. </t>
  </si>
  <si>
    <t xml:space="preserve">. Engineering expenses (salaries): Estimated at 500k, and will start on February of 2021 and run through February of 2023. </t>
  </si>
  <si>
    <t>. Permit and impact fees: Estimated at 300k, and must be paid in two equal installments; the first payment is due 2 months prior to the construction start date and the second payment will be due 2 months prior to the construction end date.</t>
  </si>
  <si>
    <t>- Leasing Expenses: 10k per month for the warehouse lease and 10k per month for lease of equipment, both starting in April of 2021 and ending in February of 2023. 7.6k per month for the lease of administrative offices, starting in February of 2021 and ending in February of 2023.</t>
  </si>
  <si>
    <t>- SG&amp;A and Other Expenses: 40k per month starting in February of 2021 and ending in February of 2023. VAT of 19% is applicable on 50% of SG&amp;A and other expenses.</t>
  </si>
  <si>
    <t>A bullet loan is available for only 50% of the manufacturing costs, and no principal payments are due until the sale date of the aircraft. Annual interest rate is 10% and the resulting interest expenses must be paid on a quarterly basis. Loan closing costs are 1.5% of total financed capital and are due only when the loan is issued. No other financing expenses are expected.</t>
  </si>
  <si>
    <t>Capital calls are made twice a year, starting in January of 2021. At any given time, a minimum cash reserve of 5% of the total manufacturing costs must be kept in the bank to cover for any unexpected expenses, or unfavorable cost variations.</t>
  </si>
  <si>
    <t>For simplicity purposes, company ABC does not own any property plant and equipment. Instead, any PPE used in the development of the project is leased from a 3rd party and no capital purchases are expected. Moreover, no additional revenues or costs are expected, other than what has already been explained.</t>
  </si>
  <si>
    <t>Financial Dashboard: Project Level</t>
  </si>
  <si>
    <t>Type</t>
  </si>
  <si>
    <t>Total Revenue</t>
  </si>
  <si>
    <t>Total Costs</t>
  </si>
  <si>
    <t>EBT</t>
  </si>
  <si>
    <t>Max. Equity</t>
  </si>
  <si>
    <t>ROI</t>
  </si>
  <si>
    <t>IRR</t>
  </si>
  <si>
    <t>Timing:</t>
  </si>
  <si>
    <t>Start</t>
  </si>
  <si>
    <t>End</t>
  </si>
  <si>
    <t>Breakeven</t>
  </si>
  <si>
    <t>Unlevered</t>
  </si>
  <si>
    <t>Levered</t>
  </si>
  <si>
    <t>Financial Dashboard: Investor Level</t>
  </si>
  <si>
    <t>Click here! --&gt;&gt;</t>
  </si>
  <si>
    <t>Chart Category</t>
  </si>
  <si>
    <t>Stream Code</t>
  </si>
  <si>
    <t>VAT%</t>
  </si>
  <si>
    <t>Recoverable VAT?</t>
  </si>
  <si>
    <t>VAT Reimbursement</t>
  </si>
  <si>
    <t>Monthly Outputs:</t>
  </si>
  <si>
    <t>Description:</t>
  </si>
  <si>
    <t>Manual Inputs:</t>
  </si>
  <si>
    <t>Total:</t>
  </si>
  <si>
    <t>A</t>
  </si>
  <si>
    <t>Revenues</t>
  </si>
  <si>
    <t>B</t>
  </si>
  <si>
    <t>Sales Revenue</t>
  </si>
  <si>
    <t>C</t>
  </si>
  <si>
    <t>RSA001</t>
  </si>
  <si>
    <t>Pmt. 1:</t>
  </si>
  <si>
    <t>Pmt. 2:</t>
  </si>
  <si>
    <t>RSA000</t>
  </si>
  <si>
    <t>RTO000</t>
  </si>
  <si>
    <t>Costs</t>
  </si>
  <si>
    <t>Direct Manufacturing</t>
  </si>
  <si>
    <t>CMA001</t>
  </si>
  <si>
    <t>Y</t>
  </si>
  <si>
    <t>Direct Manufacturing Costs</t>
  </si>
  <si>
    <t>μ (mos.):</t>
  </si>
  <si>
    <t>σ (mos.):</t>
  </si>
  <si>
    <t>Curve Area:</t>
  </si>
  <si>
    <t>Start Date:</t>
  </si>
  <si>
    <t>End Date:</t>
  </si>
  <si>
    <t>Total Costs:</t>
  </si>
  <si>
    <t>CMA000</t>
  </si>
  <si>
    <t>R&amp;D Expenses</t>
  </si>
  <si>
    <t>ERD001</t>
  </si>
  <si>
    <t xml:space="preserve">Actual vs. budget true-up: </t>
  </si>
  <si>
    <t>Remaining mos.</t>
  </si>
  <si>
    <t>ERD000</t>
  </si>
  <si>
    <t>Technical Expenses</t>
  </si>
  <si>
    <t>ETE001</t>
  </si>
  <si>
    <t>Technical Consulting</t>
  </si>
  <si>
    <t>X0 (mos.):</t>
  </si>
  <si>
    <t>Slope (%):</t>
  </si>
  <si>
    <t>ETE002</t>
  </si>
  <si>
    <t>Engineering Expenses</t>
  </si>
  <si>
    <t>ETE003</t>
  </si>
  <si>
    <t>Permit &amp; Impact Fees</t>
  </si>
  <si>
    <t>Mo. Costs:</t>
  </si>
  <si>
    <t>ETE000</t>
  </si>
  <si>
    <t>Lease Expenses</t>
  </si>
  <si>
    <t>ELE001</t>
  </si>
  <si>
    <t>Equipment Lease</t>
  </si>
  <si>
    <t>ELE002</t>
  </si>
  <si>
    <t>Warehouse Lease</t>
  </si>
  <si>
    <t>ELE003</t>
  </si>
  <si>
    <t>Administrative Office Lease</t>
  </si>
  <si>
    <t>ELE000</t>
  </si>
  <si>
    <t>SG&amp;A and Other Overhead</t>
  </si>
  <si>
    <t>EGA001</t>
  </si>
  <si>
    <t>SG&amp;A and Other Overhead Expenses</t>
  </si>
  <si>
    <t>EGA000</t>
  </si>
  <si>
    <t>CTO000</t>
  </si>
  <si>
    <t>CTO999</t>
  </si>
  <si>
    <t>FVA000</t>
  </si>
  <si>
    <t>Cash Flow Before VAT</t>
  </si>
  <si>
    <t>ROI:</t>
  </si>
  <si>
    <t>IRR:</t>
  </si>
  <si>
    <t>FVA999</t>
  </si>
  <si>
    <t>VAT</t>
  </si>
  <si>
    <t>Input VAT</t>
  </si>
  <si>
    <t>VAI001</t>
  </si>
  <si>
    <t>VAI002</t>
  </si>
  <si>
    <t>VAI003</t>
  </si>
  <si>
    <t>VAI004</t>
  </si>
  <si>
    <t>VAI005</t>
  </si>
  <si>
    <t>VAI000</t>
  </si>
  <si>
    <t>Output VAT</t>
  </si>
  <si>
    <t>VAO001</t>
  </si>
  <si>
    <t>VAO000</t>
  </si>
  <si>
    <t>Recoverable VAT</t>
  </si>
  <si>
    <t>VAR001</t>
  </si>
  <si>
    <t>VAR002</t>
  </si>
  <si>
    <t>VAR003</t>
  </si>
  <si>
    <t>VAR004</t>
  </si>
  <si>
    <t>VAR005</t>
  </si>
  <si>
    <t>VAR000</t>
  </si>
  <si>
    <t>VAP000</t>
  </si>
  <si>
    <t>Paid VAT</t>
  </si>
  <si>
    <t>Pmts. every:</t>
  </si>
  <si>
    <t>Pmts. Start:</t>
  </si>
  <si>
    <t>FUP000</t>
  </si>
  <si>
    <t>Unlevered Cash Flow</t>
  </si>
  <si>
    <t>FUP999</t>
  </si>
  <si>
    <t>Unlevered Investor's Cash Flow</t>
  </si>
  <si>
    <t>FUB000</t>
  </si>
  <si>
    <t>Starting Bank Balance</t>
  </si>
  <si>
    <t>Min. bank bal.</t>
  </si>
  <si>
    <t>Min. bal. end date:</t>
  </si>
  <si>
    <t>FUC000</t>
  </si>
  <si>
    <t>Capital Calls</t>
  </si>
  <si>
    <t>Calls every:</t>
  </si>
  <si>
    <t>Cap. Calls Start:</t>
  </si>
  <si>
    <t>FUD000</t>
  </si>
  <si>
    <t>Capital Distributions</t>
  </si>
  <si>
    <t>Distribute all + bal.?</t>
  </si>
  <si>
    <t>N</t>
  </si>
  <si>
    <t>Cap. Dist. Start:</t>
  </si>
  <si>
    <t>FUE000</t>
  </si>
  <si>
    <t>Ending Bank Balance</t>
  </si>
  <si>
    <t>FUI000</t>
  </si>
  <si>
    <t>FUI999</t>
  </si>
  <si>
    <t>Financing</t>
  </si>
  <si>
    <t>Loan Balance</t>
  </si>
  <si>
    <t>LBA001</t>
  </si>
  <si>
    <t>Balloon Pmt.</t>
  </si>
  <si>
    <t>% Financed</t>
  </si>
  <si>
    <t>LBA002</t>
  </si>
  <si>
    <t>LBA000</t>
  </si>
  <si>
    <t>Financing Expenses</t>
  </si>
  <si>
    <t>EFI001</t>
  </si>
  <si>
    <t>Interest Rate:</t>
  </si>
  <si>
    <t>EFI002</t>
  </si>
  <si>
    <t>Other Interest Expense</t>
  </si>
  <si>
    <t>EFI003</t>
  </si>
  <si>
    <t>% of Financed Capital</t>
  </si>
  <si>
    <t>Pmt. Date:</t>
  </si>
  <si>
    <t>EFI004</t>
  </si>
  <si>
    <t>Other Closing Costs</t>
  </si>
  <si>
    <t>EFI000</t>
  </si>
  <si>
    <t>FLP000</t>
  </si>
  <si>
    <t>Levered Cash Flow</t>
  </si>
  <si>
    <t>FLP999</t>
  </si>
  <si>
    <t>Levered Investor's Cash Flow</t>
  </si>
  <si>
    <t>FLB000</t>
  </si>
  <si>
    <t>FLC000</t>
  </si>
  <si>
    <t>FLD000</t>
  </si>
  <si>
    <t>FLE000</t>
  </si>
  <si>
    <t>FLI000</t>
  </si>
  <si>
    <t>FLI999</t>
  </si>
  <si>
    <t>Periods</t>
  </si>
  <si>
    <t>μ</t>
  </si>
  <si>
    <t>incr. of</t>
  </si>
  <si>
    <t>σ</t>
  </si>
  <si>
    <t>F(x) Cumulat.</t>
  </si>
  <si>
    <t>X</t>
  </si>
  <si>
    <t>F(x)</t>
  </si>
  <si>
    <t>Adj. F(x) Cumulat.</t>
  </si>
  <si>
    <t>Adjusted F(x)</t>
  </si>
  <si>
    <t>X0</t>
  </si>
  <si>
    <t>Logistic distribution curve has heavier tails than those of the Gaussian distribution curve.</t>
  </si>
  <si>
    <t>L (total costs)</t>
  </si>
  <si>
    <t>k</t>
  </si>
  <si>
    <t>F(x) Dist.</t>
  </si>
  <si>
    <t>Adj. F(x) Dist.</t>
  </si>
  <si>
    <t>The following business case is an imaginary and simplified business case that I invented with the sole purpose of demonstrating my financial analysis, modeling and planning abilities. It is not, in any way, based on a real world business case, nor intended to recreate a real world business situation:</t>
  </si>
  <si>
    <t>X1000 Aircraft Project:</t>
  </si>
  <si>
    <t>Company ABC has put together a project founded by external investors to develop a new energy-efficient aircraft prototype called the X1000. In order to maximize the project's IRR for the investors, company ABC needs to use the investor's capital in the most efficient way possible. After development, the aircraft will be licensed and sold to a transportation service company that will further develop it and capitalize on it.</t>
  </si>
  <si>
    <t>In March of 2022, a sales deposit of 2.5M will be received as a down payment for the sale of the X1000 prototype. One year later, in March of 2023 the sale will be realized and the remaining 10M payment will be received,  totaling 12.5M of sales revenue for the company. VAT on revenue generated by the sale of short-range aircrafts, such as the X1000, is 19%.</t>
  </si>
  <si>
    <t>Model the business case explained above, estimate all capital calls and distributions resulting from the X1000 prototype project and calculate the project's levered and unlevered IRR and ROI for investors.</t>
  </si>
  <si>
    <t>X1000 Project Financial Results</t>
  </si>
  <si>
    <t>X1000 Cash Pro Forma</t>
  </si>
  <si>
    <t>X1000 Aircraft Project Business Case Description:</t>
  </si>
  <si>
    <t>Analysts at company ABC estimate that the physical construction process of the X1000 prototype will last 21 months, starting on May 1st, 2021. The plane's direct manufacturing costs will total 5M. Due to the particularities of the manufacturing process and the suppliers' payment terms, the cash flow forecast distribution of these costs is expected to imitate a Gaussian distribution curve. The peak of the curve (μ), that is, the moment at which the monthly manufacturing costs are highest, will be in January of 2022. The flatness of the curve will be defined by a standard deviation (σ) of 6 months from the peak of the curve. VAT must be applied on direct manufacturing costs at a rate of 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</si>
</sst>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0_);_(* \(#,##0\);_(* &quot;-&quot;_);_(@_)"/>
    <numFmt numFmtId="165" formatCode="0.0%"/>
    <numFmt numFmtId="166" formatCode="[$-409]mmm\-yy;@"/>
    <numFmt numFmtId="167" formatCode="0.0"/>
    <numFmt numFmtId="168" formatCode="_(* #,##0.0000_);_(* \(#,##0.0000\);_(* &quot;-&quot;????_);_(@_)"/>
    <numFmt numFmtId="169" formatCode="_(* #,##0.00_);_(* \(#,##0.00\);_(* &quot;-&quot;_);_(@_)"/>
    <numFmt numFmtId="170" formatCode="_(* #,##0.0000_);_(* \(#,##0.0000\);_(* &quot;-&quot;_);_(@_)"/>
    <numFmt numFmtId="171" formatCode="0&quot; mos.&quot;"/>
    <numFmt numFmtId="172" formatCode="_(* #,##0_);_(* \(#,##0\);_(* &quot;-&quot;??_);_(@_)"/>
  </numFmts>
  <fonts count="1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color theme="1"/>
      <name val="Calibri"/>
      <family val="2"/>
      <scheme val="minor"/>
    </font>
    <font>
      <b/>
      <sz val="11.5"/>
      <color theme="1"/>
      <name val="Calibri"/>
      <family val="2"/>
      <scheme val="minor"/>
    </font>
    <font>
      <sz val="11.5"/>
      <color theme="1"/>
      <name val="Calibri"/>
      <family val="2"/>
      <scheme val="minor"/>
    </font>
    <font>
      <b/>
      <sz val="10"/>
      <color theme="1"/>
      <name val="Calibri"/>
      <family val="2"/>
      <scheme val="minor"/>
    </font>
    <font>
      <sz val="11"/>
      <color rgb="FF0000CC"/>
      <name val="Calibri"/>
      <family val="2"/>
      <scheme val="minor"/>
    </font>
    <font>
      <sz val="10"/>
      <color rgb="FF0000CC"/>
      <name val="Calibri"/>
      <family val="2"/>
      <scheme val="minor"/>
    </font>
    <font>
      <b/>
      <sz val="10"/>
      <color rgb="FF0000CC"/>
      <name val="Calibri"/>
      <family val="2"/>
      <scheme val="minor"/>
    </font>
    <font>
      <sz val="10"/>
      <color theme="0"/>
      <name val="Calibri"/>
      <family val="2"/>
      <scheme val="minor"/>
    </font>
    <font>
      <b/>
      <sz val="9"/>
      <color indexed="81"/>
      <name val="Tahoma"/>
      <family val="2"/>
    </font>
    <font>
      <sz val="9"/>
      <color indexed="81"/>
      <name val="Tahoma"/>
      <family val="2"/>
    </font>
    <font>
      <sz val="10.5"/>
      <color theme="1"/>
      <name val="Calibri"/>
      <family val="2"/>
      <scheme val="minor"/>
    </font>
  </fonts>
  <fills count="6">
    <fill>
      <patternFill patternType="none"/>
    </fill>
    <fill>
      <patternFill patternType="gray125"/>
    </fill>
    <fill>
      <patternFill patternType="solid">
        <fgColor theme="4" tint="-0.249977111117893"/>
        <bgColor indexed="64"/>
      </patternFill>
    </fill>
    <fill>
      <patternFill patternType="solid">
        <fgColor theme="4" tint="0.79998168889431442"/>
        <bgColor indexed="64"/>
      </patternFill>
    </fill>
    <fill>
      <patternFill patternType="solid">
        <fgColor theme="2"/>
        <bgColor indexed="64"/>
      </patternFill>
    </fill>
    <fill>
      <patternFill patternType="solid">
        <fgColor theme="2" tint="-9.9978637043366805E-2"/>
        <bgColor indexed="64"/>
      </patternFill>
    </fill>
  </fills>
  <borders count="2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hair">
        <color indexed="64"/>
      </right>
      <top style="thin">
        <color indexed="64"/>
      </top>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thin">
        <color indexed="64"/>
      </top>
      <bottom style="hair">
        <color indexed="64"/>
      </bottom>
      <diagonal/>
    </border>
    <border>
      <left/>
      <right style="hair">
        <color indexed="64"/>
      </right>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thin">
        <color indexed="64"/>
      </top>
      <bottom/>
      <diagonal/>
    </border>
    <border>
      <left style="hair">
        <color indexed="64"/>
      </left>
      <right style="hair">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style="thin">
        <color indexed="64"/>
      </right>
      <top/>
      <bottom style="thin">
        <color indexed="64"/>
      </bottom>
      <diagonal/>
    </border>
    <border>
      <left/>
      <right style="thin">
        <color indexed="64"/>
      </right>
      <top/>
      <bottom/>
      <diagonal/>
    </border>
    <border>
      <left style="thin">
        <color indexed="64"/>
      </left>
      <right/>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s>
  <cellStyleXfs count="2">
    <xf numFmtId="0" fontId="0" fillId="0" borderId="0"/>
    <xf numFmtId="9" fontId="1" fillId="0" borderId="0" applyFont="0" applyFill="0" applyBorder="0" applyAlignment="0" applyProtection="0"/>
  </cellStyleXfs>
  <cellXfs count="152">
    <xf numFmtId="0" fontId="0" fillId="0" borderId="0" xfId="0"/>
    <xf numFmtId="0" fontId="3" fillId="0" borderId="0" xfId="0" applyFont="1"/>
    <xf numFmtId="0" fontId="0" fillId="0" borderId="0" xfId="0" applyAlignment="1">
      <alignment wrapText="1"/>
    </xf>
    <xf numFmtId="0" fontId="0" fillId="0" borderId="0" xfId="0" applyAlignment="1">
      <alignment horizontal="left" wrapText="1"/>
    </xf>
    <xf numFmtId="0" fontId="4" fillId="0" borderId="0" xfId="0" applyFont="1" applyAlignment="1">
      <alignment vertical="top" wrapText="1"/>
    </xf>
    <xf numFmtId="0" fontId="5" fillId="0" borderId="0" xfId="0" applyFont="1" applyAlignment="1">
      <alignment vertical="center"/>
    </xf>
    <xf numFmtId="0" fontId="2" fillId="2" borderId="2" xfId="0" applyFont="1" applyFill="1" applyBorder="1" applyAlignment="1">
      <alignment horizontal="centerContinuous"/>
    </xf>
    <xf numFmtId="0" fontId="2" fillId="2" borderId="3" xfId="0" applyFont="1" applyFill="1" applyBorder="1" applyAlignment="1">
      <alignment horizontal="centerContinuous"/>
    </xf>
    <xf numFmtId="0" fontId="2" fillId="2" borderId="4" xfId="0" applyFont="1" applyFill="1" applyBorder="1" applyAlignment="1">
      <alignment horizontal="centerContinuous"/>
    </xf>
    <xf numFmtId="0" fontId="2" fillId="2" borderId="1" xfId="0" applyFont="1" applyFill="1" applyBorder="1" applyAlignment="1">
      <alignment horizontal="center"/>
    </xf>
    <xf numFmtId="0" fontId="3" fillId="0" borderId="1" xfId="0" applyFont="1" applyBorder="1" applyAlignment="1">
      <alignment horizontal="center"/>
    </xf>
    <xf numFmtId="164" fontId="0" fillId="0" borderId="7" xfId="0" applyNumberFormat="1" applyBorder="1"/>
    <xf numFmtId="165" fontId="0" fillId="0" borderId="7" xfId="1" applyNumberFormat="1" applyFont="1" applyBorder="1"/>
    <xf numFmtId="165" fontId="0" fillId="0" borderId="8" xfId="1" applyNumberFormat="1" applyFont="1" applyBorder="1"/>
    <xf numFmtId="166" fontId="0" fillId="0" borderId="9" xfId="0" applyNumberFormat="1" applyBorder="1"/>
    <xf numFmtId="166" fontId="0" fillId="0" borderId="7" xfId="0" applyNumberFormat="1" applyBorder="1"/>
    <xf numFmtId="166" fontId="0" fillId="0" borderId="8" xfId="0" applyNumberFormat="1" applyBorder="1"/>
    <xf numFmtId="164" fontId="0" fillId="0" borderId="11" xfId="0" applyNumberFormat="1" applyBorder="1"/>
    <xf numFmtId="165" fontId="0" fillId="0" borderId="11" xfId="1" applyNumberFormat="1" applyFont="1" applyBorder="1"/>
    <xf numFmtId="165" fontId="0" fillId="0" borderId="12" xfId="1" applyNumberFormat="1" applyFont="1" applyBorder="1"/>
    <xf numFmtId="166" fontId="0" fillId="0" borderId="13" xfId="0" applyNumberFormat="1" applyBorder="1"/>
    <xf numFmtId="166" fontId="0" fillId="0" borderId="11" xfId="0" applyNumberFormat="1" applyBorder="1"/>
    <xf numFmtId="166" fontId="0" fillId="0" borderId="12" xfId="0" applyNumberFormat="1" applyBorder="1"/>
    <xf numFmtId="0" fontId="6" fillId="0" borderId="0" xfId="0" applyFont="1"/>
    <xf numFmtId="0" fontId="6" fillId="0" borderId="0" xfId="0" applyFont="1" applyAlignment="1">
      <alignment vertical="center"/>
    </xf>
    <xf numFmtId="2" fontId="6" fillId="0" borderId="0" xfId="0" applyNumberFormat="1" applyFont="1" applyAlignment="1">
      <alignment horizontal="center" textRotation="90"/>
    </xf>
    <xf numFmtId="0" fontId="5" fillId="0" borderId="0" xfId="0" applyFont="1"/>
    <xf numFmtId="2" fontId="4" fillId="0" borderId="3" xfId="0" applyNumberFormat="1" applyFont="1" applyBorder="1" applyAlignment="1">
      <alignment horizontal="center" textRotation="90"/>
    </xf>
    <xf numFmtId="0" fontId="5" fillId="0" borderId="3" xfId="0" applyFont="1" applyBorder="1" applyAlignment="1">
      <alignment vertical="center"/>
    </xf>
    <xf numFmtId="0" fontId="6" fillId="0" borderId="3" xfId="0" applyFont="1" applyBorder="1" applyAlignment="1">
      <alignment vertical="center"/>
    </xf>
    <xf numFmtId="0" fontId="6" fillId="0" borderId="4" xfId="0" applyFont="1" applyBorder="1" applyAlignment="1">
      <alignment vertical="center"/>
    </xf>
    <xf numFmtId="0" fontId="5" fillId="0" borderId="1" xfId="0" applyFont="1" applyBorder="1" applyAlignment="1">
      <alignment horizontal="center" vertical="center"/>
    </xf>
    <xf numFmtId="0" fontId="7" fillId="0" borderId="19" xfId="0" applyFont="1" applyBorder="1" applyAlignment="1">
      <alignment horizontal="center"/>
    </xf>
    <xf numFmtId="17" fontId="8" fillId="3" borderId="1" xfId="0" applyNumberFormat="1" applyFont="1" applyFill="1" applyBorder="1" applyAlignment="1">
      <alignment horizontal="center" vertical="center"/>
    </xf>
    <xf numFmtId="17" fontId="0" fillId="0" borderId="1" xfId="0" applyNumberFormat="1" applyBorder="1" applyAlignment="1">
      <alignment horizontal="center" vertical="center"/>
    </xf>
    <xf numFmtId="0" fontId="4" fillId="0" borderId="18" xfId="0" applyFont="1" applyBorder="1"/>
    <xf numFmtId="0" fontId="4" fillId="0" borderId="0" xfId="0" applyFont="1" applyAlignment="1">
      <alignment horizontal="center"/>
    </xf>
    <xf numFmtId="0" fontId="4" fillId="0" borderId="0" xfId="0" applyFont="1"/>
    <xf numFmtId="0" fontId="7" fillId="0" borderId="0" xfId="0" applyFont="1"/>
    <xf numFmtId="0" fontId="4" fillId="0" borderId="20" xfId="0" applyFont="1" applyBorder="1"/>
    <xf numFmtId="0" fontId="7" fillId="0" borderId="0" xfId="0" applyFont="1" applyAlignment="1">
      <alignment horizontal="centerContinuous"/>
    </xf>
    <xf numFmtId="0" fontId="4" fillId="0" borderId="0" xfId="0" applyFont="1" applyAlignment="1">
      <alignment horizontal="centerContinuous"/>
    </xf>
    <xf numFmtId="0" fontId="7" fillId="0" borderId="17" xfId="0" applyFont="1" applyBorder="1" applyAlignment="1">
      <alignment horizontal="center"/>
    </xf>
    <xf numFmtId="0" fontId="7" fillId="0" borderId="0" xfId="0" applyFont="1" applyAlignment="1">
      <alignment horizontal="center"/>
    </xf>
    <xf numFmtId="17" fontId="9" fillId="0" borderId="0" xfId="0" applyNumberFormat="1" applyFont="1" applyAlignment="1">
      <alignment horizontal="center"/>
    </xf>
    <xf numFmtId="17" fontId="4" fillId="0" borderId="0" xfId="0" applyNumberFormat="1" applyFont="1" applyAlignment="1">
      <alignment horizontal="center"/>
    </xf>
    <xf numFmtId="0" fontId="4" fillId="0" borderId="17" xfId="0" applyFont="1" applyBorder="1" applyAlignment="1">
      <alignment horizontal="center"/>
    </xf>
    <xf numFmtId="0" fontId="4" fillId="0" borderId="18" xfId="0" applyFont="1" applyBorder="1" applyAlignment="1">
      <alignment horizontal="center"/>
    </xf>
    <xf numFmtId="9" fontId="9" fillId="0" borderId="1" xfId="1" applyFont="1" applyBorder="1" applyAlignment="1">
      <alignment horizontal="center"/>
    </xf>
    <xf numFmtId="0" fontId="9" fillId="0" borderId="21" xfId="0" applyFont="1" applyBorder="1"/>
    <xf numFmtId="0" fontId="4" fillId="0" borderId="19" xfId="0" applyFont="1" applyBorder="1"/>
    <xf numFmtId="0" fontId="7" fillId="0" borderId="18" xfId="0" applyFont="1" applyBorder="1" applyAlignment="1">
      <alignment horizontal="right"/>
    </xf>
    <xf numFmtId="164" fontId="9" fillId="0" borderId="1" xfId="0" applyNumberFormat="1" applyFont="1" applyBorder="1"/>
    <xf numFmtId="17" fontId="9" fillId="3" borderId="1" xfId="0" applyNumberFormat="1" applyFont="1" applyFill="1" applyBorder="1"/>
    <xf numFmtId="164" fontId="4" fillId="0" borderId="5" xfId="0" applyNumberFormat="1" applyFont="1" applyBorder="1"/>
    <xf numFmtId="164" fontId="4" fillId="0" borderId="18" xfId="0" applyNumberFormat="1" applyFont="1" applyBorder="1"/>
    <xf numFmtId="0" fontId="7" fillId="0" borderId="22" xfId="0" applyFont="1" applyBorder="1" applyAlignment="1">
      <alignment horizontal="center"/>
    </xf>
    <xf numFmtId="0" fontId="7" fillId="0" borderId="22" xfId="0" applyFont="1" applyBorder="1"/>
    <xf numFmtId="0" fontId="7" fillId="0" borderId="23" xfId="0" applyFont="1" applyBorder="1"/>
    <xf numFmtId="164" fontId="7" fillId="0" borderId="17" xfId="0" applyNumberFormat="1" applyFont="1" applyBorder="1"/>
    <xf numFmtId="164" fontId="7" fillId="0" borderId="0" xfId="0" applyNumberFormat="1" applyFont="1"/>
    <xf numFmtId="0" fontId="9" fillId="0" borderId="0" xfId="0" applyFont="1" applyAlignment="1">
      <alignment horizontal="center"/>
    </xf>
    <xf numFmtId="0" fontId="7" fillId="4" borderId="3" xfId="0" applyFont="1" applyFill="1" applyBorder="1" applyAlignment="1">
      <alignment horizontal="center"/>
    </xf>
    <xf numFmtId="0" fontId="7" fillId="4" borderId="3" xfId="0" applyFont="1" applyFill="1" applyBorder="1"/>
    <xf numFmtId="0" fontId="10" fillId="4" borderId="3" xfId="0" applyFont="1" applyFill="1" applyBorder="1" applyAlignment="1">
      <alignment horizontal="center"/>
    </xf>
    <xf numFmtId="0" fontId="7" fillId="4" borderId="4" xfId="0" applyFont="1" applyFill="1" applyBorder="1"/>
    <xf numFmtId="164" fontId="7" fillId="4" borderId="1" xfId="0" applyNumberFormat="1" applyFont="1" applyFill="1" applyBorder="1"/>
    <xf numFmtId="164" fontId="7" fillId="4" borderId="3" xfId="0" applyNumberFormat="1" applyFont="1" applyFill="1" applyBorder="1"/>
    <xf numFmtId="164" fontId="4" fillId="0" borderId="0" xfId="0" applyNumberFormat="1" applyFont="1"/>
    <xf numFmtId="0" fontId="4" fillId="0" borderId="17" xfId="0" applyFont="1" applyBorder="1"/>
    <xf numFmtId="0" fontId="9" fillId="0" borderId="1" xfId="0" applyFont="1" applyBorder="1" applyAlignment="1">
      <alignment horizontal="center"/>
    </xf>
    <xf numFmtId="167" fontId="9" fillId="0" borderId="1" xfId="0" applyNumberFormat="1" applyFont="1" applyBorder="1"/>
    <xf numFmtId="168" fontId="4" fillId="5" borderId="1" xfId="0" applyNumberFormat="1" applyFont="1" applyFill="1" applyBorder="1"/>
    <xf numFmtId="0" fontId="4" fillId="0" borderId="18" xfId="0" applyFont="1" applyBorder="1" applyAlignment="1">
      <alignment horizontal="right"/>
    </xf>
    <xf numFmtId="0" fontId="9" fillId="0" borderId="1" xfId="0" applyFont="1" applyBorder="1"/>
    <xf numFmtId="0" fontId="10" fillId="0" borderId="0" xfId="0" applyFont="1" applyAlignment="1">
      <alignment horizontal="center"/>
    </xf>
    <xf numFmtId="0" fontId="7" fillId="0" borderId="20" xfId="0" applyFont="1" applyBorder="1"/>
    <xf numFmtId="0" fontId="7" fillId="0" borderId="0" xfId="0" applyFont="1" applyAlignment="1">
      <alignment horizontal="right"/>
    </xf>
    <xf numFmtId="169" fontId="4" fillId="0" borderId="0" xfId="0" applyNumberFormat="1" applyFont="1"/>
    <xf numFmtId="0" fontId="7" fillId="0" borderId="20" xfId="0" applyFont="1" applyBorder="1" applyAlignment="1">
      <alignment horizontal="right"/>
    </xf>
    <xf numFmtId="9" fontId="9" fillId="0" borderId="1" xfId="1" applyFont="1" applyBorder="1"/>
    <xf numFmtId="164" fontId="4" fillId="0" borderId="17" xfId="0" applyNumberFormat="1" applyFont="1" applyBorder="1"/>
    <xf numFmtId="0" fontId="4" fillId="0" borderId="0" xfId="0" applyFont="1" applyAlignment="1">
      <alignment horizontal="right"/>
    </xf>
    <xf numFmtId="0" fontId="7" fillId="0" borderId="5" xfId="0" applyFont="1" applyBorder="1" applyAlignment="1">
      <alignment horizontal="right"/>
    </xf>
    <xf numFmtId="170" fontId="4" fillId="0" borderId="0" xfId="0" applyNumberFormat="1" applyFont="1"/>
    <xf numFmtId="0" fontId="7" fillId="0" borderId="24" xfId="0" applyFont="1" applyBorder="1" applyAlignment="1">
      <alignment horizontal="right"/>
    </xf>
    <xf numFmtId="0" fontId="7" fillId="0" borderId="21" xfId="0" applyFont="1" applyBorder="1" applyAlignment="1">
      <alignment horizontal="right"/>
    </xf>
    <xf numFmtId="165" fontId="9" fillId="0" borderId="1" xfId="1" applyNumberFormat="1" applyFont="1" applyBorder="1" applyAlignment="1">
      <alignment horizontal="center"/>
    </xf>
    <xf numFmtId="0" fontId="4" fillId="0" borderId="22" xfId="0" applyFont="1" applyBorder="1" applyAlignment="1">
      <alignment horizontal="center"/>
    </xf>
    <xf numFmtId="0" fontId="4" fillId="0" borderId="22" xfId="0" applyFont="1" applyBorder="1"/>
    <xf numFmtId="0" fontId="4" fillId="0" borderId="23" xfId="0" applyFont="1" applyBorder="1"/>
    <xf numFmtId="164" fontId="4" fillId="0" borderId="16" xfId="0" applyNumberFormat="1" applyFont="1" applyBorder="1"/>
    <xf numFmtId="164" fontId="4" fillId="0" borderId="22" xfId="0" applyNumberFormat="1" applyFont="1" applyBorder="1"/>
    <xf numFmtId="0" fontId="11" fillId="0" borderId="18" xfId="0" applyFont="1" applyBorder="1"/>
    <xf numFmtId="0" fontId="4" fillId="0" borderId="5" xfId="0" applyFont="1" applyBorder="1"/>
    <xf numFmtId="0" fontId="7" fillId="4" borderId="3" xfId="0" applyFont="1" applyFill="1" applyBorder="1" applyAlignment="1">
      <alignment horizontal="right"/>
    </xf>
    <xf numFmtId="165" fontId="7" fillId="4" borderId="3" xfId="0" applyNumberFormat="1" applyFont="1" applyFill="1" applyBorder="1"/>
    <xf numFmtId="0" fontId="7" fillId="0" borderId="17" xfId="0" applyFont="1" applyBorder="1"/>
    <xf numFmtId="0" fontId="7" fillId="0" borderId="3" xfId="0" applyFont="1" applyBorder="1" applyAlignment="1">
      <alignment horizontal="center"/>
    </xf>
    <xf numFmtId="0" fontId="7" fillId="0" borderId="3" xfId="0" applyFont="1" applyBorder="1"/>
    <xf numFmtId="0" fontId="7" fillId="0" borderId="4" xfId="0" applyFont="1" applyBorder="1"/>
    <xf numFmtId="0" fontId="7" fillId="0" borderId="3" xfId="0" applyFont="1" applyBorder="1" applyAlignment="1">
      <alignment horizontal="right"/>
    </xf>
    <xf numFmtId="171" fontId="9" fillId="0" borderId="1" xfId="0" applyNumberFormat="1" applyFont="1" applyBorder="1"/>
    <xf numFmtId="164" fontId="4" fillId="0" borderId="1" xfId="0" applyNumberFormat="1" applyFont="1" applyBorder="1"/>
    <xf numFmtId="164" fontId="7" fillId="0" borderId="3" xfId="0" applyNumberFormat="1" applyFont="1" applyBorder="1"/>
    <xf numFmtId="0" fontId="11" fillId="0" borderId="0" xfId="0" applyFont="1"/>
    <xf numFmtId="0" fontId="4" fillId="0" borderId="22" xfId="0" applyFont="1" applyBorder="1" applyAlignment="1">
      <alignment horizontal="right"/>
    </xf>
    <xf numFmtId="164" fontId="4" fillId="0" borderId="0" xfId="0" applyNumberFormat="1" applyFont="1" applyAlignment="1">
      <alignment horizontal="right"/>
    </xf>
    <xf numFmtId="0" fontId="9" fillId="0" borderId="1" xfId="0" applyFont="1" applyBorder="1" applyAlignment="1">
      <alignment horizontal="right"/>
    </xf>
    <xf numFmtId="9" fontId="9" fillId="0" borderId="1" xfId="0" applyNumberFormat="1" applyFont="1" applyBorder="1"/>
    <xf numFmtId="172" fontId="4" fillId="0" borderId="0" xfId="0" applyNumberFormat="1" applyFont="1"/>
    <xf numFmtId="14" fontId="4" fillId="0" borderId="0" xfId="0" applyNumberFormat="1" applyFont="1"/>
    <xf numFmtId="164" fontId="7" fillId="0" borderId="16" xfId="0" applyNumberFormat="1" applyFont="1" applyBorder="1"/>
    <xf numFmtId="164" fontId="7" fillId="0" borderId="22" xfId="0" applyNumberFormat="1" applyFont="1" applyBorder="1"/>
    <xf numFmtId="2" fontId="4" fillId="0" borderId="0" xfId="0" applyNumberFormat="1" applyFont="1"/>
    <xf numFmtId="165" fontId="9" fillId="0" borderId="1" xfId="0" applyNumberFormat="1" applyFont="1" applyBorder="1"/>
    <xf numFmtId="0" fontId="3" fillId="0" borderId="1" xfId="0" applyFont="1" applyBorder="1" applyAlignment="1">
      <alignment horizontal="right"/>
    </xf>
    <xf numFmtId="0" fontId="8" fillId="0" borderId="1" xfId="0" applyFont="1" applyBorder="1"/>
    <xf numFmtId="0" fontId="3" fillId="0" borderId="4" xfId="0" applyFont="1" applyBorder="1" applyAlignment="1">
      <alignment horizontal="right"/>
    </xf>
    <xf numFmtId="0" fontId="0" fillId="0" borderId="1" xfId="0" applyBorder="1"/>
    <xf numFmtId="0" fontId="0" fillId="0" borderId="25" xfId="0" applyBorder="1"/>
    <xf numFmtId="0" fontId="0" fillId="0" borderId="8" xfId="0" applyBorder="1"/>
    <xf numFmtId="0" fontId="0" fillId="0" borderId="26" xfId="0" applyBorder="1"/>
    <xf numFmtId="0" fontId="0" fillId="0" borderId="27" xfId="0" applyBorder="1"/>
    <xf numFmtId="0" fontId="0" fillId="0" borderId="28" xfId="0" applyBorder="1"/>
    <xf numFmtId="0" fontId="0" fillId="0" borderId="12" xfId="0" applyBorder="1"/>
    <xf numFmtId="0" fontId="14" fillId="0" borderId="0" xfId="0" applyFont="1" applyAlignment="1">
      <alignment horizontal="justify"/>
    </xf>
    <xf numFmtId="0" fontId="14" fillId="0" borderId="0" xfId="0" applyFont="1" applyAlignment="1">
      <alignment horizontal="justify" vertical="top" wrapText="1"/>
    </xf>
    <xf numFmtId="0" fontId="4" fillId="0" borderId="0" xfId="0" applyFont="1" applyAlignment="1">
      <alignment vertical="center"/>
    </xf>
    <xf numFmtId="0" fontId="14" fillId="0" borderId="0" xfId="0" applyFont="1" applyAlignment="1">
      <alignment horizontal="justify" vertical="top" wrapText="1"/>
    </xf>
    <xf numFmtId="0" fontId="14" fillId="0" borderId="0" xfId="0" applyFont="1" applyAlignment="1">
      <alignment horizontal="justify" wrapText="1"/>
    </xf>
    <xf numFmtId="0" fontId="14" fillId="0" borderId="0" xfId="0" quotePrefix="1" applyFont="1" applyAlignment="1">
      <alignment horizontal="left" vertical="top" wrapText="1" indent="2"/>
    </xf>
    <xf numFmtId="0" fontId="14" fillId="0" borderId="0" xfId="0" applyFont="1" applyAlignment="1">
      <alignment horizontal="left" vertical="top" wrapText="1" indent="2"/>
    </xf>
    <xf numFmtId="0" fontId="14" fillId="0" borderId="0" xfId="0" quotePrefix="1" applyFont="1" applyAlignment="1">
      <alignment horizontal="left" vertical="top" wrapText="1" indent="1"/>
    </xf>
    <xf numFmtId="0" fontId="14" fillId="0" borderId="0" xfId="0" applyFont="1" applyAlignment="1">
      <alignment horizontal="left" vertical="top" wrapText="1" indent="1"/>
    </xf>
    <xf numFmtId="164" fontId="0" fillId="0" borderId="14" xfId="0" applyNumberFormat="1" applyBorder="1" applyAlignment="1">
      <alignment horizontal="center" vertical="center"/>
    </xf>
    <xf numFmtId="164" fontId="0" fillId="0" borderId="15" xfId="0" applyNumberFormat="1" applyBorder="1" applyAlignment="1">
      <alignment horizontal="center" vertical="center"/>
    </xf>
    <xf numFmtId="0" fontId="2" fillId="2" borderId="1" xfId="0" applyFont="1" applyFill="1" applyBorder="1" applyAlignment="1">
      <alignment horizontal="center" vertical="center" wrapText="1"/>
    </xf>
    <xf numFmtId="164" fontId="0" fillId="0" borderId="6" xfId="0" applyNumberFormat="1" applyBorder="1" applyAlignment="1">
      <alignment horizontal="center" vertical="center"/>
    </xf>
    <xf numFmtId="164" fontId="0" fillId="0" borderId="10" xfId="0" applyNumberFormat="1" applyBorder="1" applyAlignment="1">
      <alignment horizontal="center" vertical="center"/>
    </xf>
    <xf numFmtId="0" fontId="2" fillId="2" borderId="5" xfId="0" applyFont="1" applyFill="1" applyBorder="1" applyAlignment="1">
      <alignment horizontal="center" vertical="center" wrapText="1"/>
    </xf>
    <xf numFmtId="0" fontId="2" fillId="2" borderId="1" xfId="0" applyFont="1" applyFill="1" applyBorder="1" applyAlignment="1">
      <alignment horizontal="center" wrapText="1"/>
    </xf>
    <xf numFmtId="0" fontId="5" fillId="0" borderId="3" xfId="0" applyFont="1" applyBorder="1" applyAlignment="1">
      <alignment horizontal="center" vertical="center"/>
    </xf>
    <xf numFmtId="0" fontId="5" fillId="0" borderId="4" xfId="0" applyFont="1" applyBorder="1" applyAlignment="1">
      <alignment horizontal="center" vertical="center"/>
    </xf>
    <xf numFmtId="0" fontId="4" fillId="0" borderId="0" xfId="0" applyFont="1" applyAlignment="1">
      <alignment horizontal="center" textRotation="90"/>
    </xf>
    <xf numFmtId="0" fontId="4" fillId="0" borderId="18" xfId="0" applyFont="1" applyBorder="1" applyAlignment="1">
      <alignment horizontal="center" textRotation="90"/>
    </xf>
    <xf numFmtId="0" fontId="4" fillId="0" borderId="16" xfId="0" applyFont="1" applyBorder="1" applyAlignment="1">
      <alignment horizontal="center" textRotation="90"/>
    </xf>
    <xf numFmtId="0" fontId="4" fillId="0" borderId="17" xfId="0" applyFont="1" applyBorder="1" applyAlignment="1">
      <alignment horizontal="center" textRotation="90"/>
    </xf>
    <xf numFmtId="0" fontId="4" fillId="0" borderId="5" xfId="0" applyFont="1" applyBorder="1" applyAlignment="1">
      <alignment horizontal="center" textRotation="90"/>
    </xf>
    <xf numFmtId="2" fontId="4" fillId="0" borderId="17" xfId="0" applyNumberFormat="1" applyFont="1" applyBorder="1" applyAlignment="1">
      <alignment horizontal="center" textRotation="90"/>
    </xf>
    <xf numFmtId="2" fontId="4" fillId="0" borderId="5" xfId="0" applyNumberFormat="1" applyFont="1" applyBorder="1" applyAlignment="1">
      <alignment horizontal="center" textRotation="90"/>
    </xf>
    <xf numFmtId="2" fontId="4" fillId="0" borderId="16" xfId="0" applyNumberFormat="1" applyFont="1" applyBorder="1" applyAlignment="1">
      <alignment horizontal="center" textRotation="90"/>
    </xf>
  </cellXfs>
  <cellStyles count="2">
    <cellStyle name="Normal" xfId="0" builtinId="0"/>
    <cellStyle name="Percent" xfId="1" builtinId="5"/>
  </cellStyles>
  <dxfs count="0"/>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scatterChart>
        <c:scatterStyle val="lineMarker"/>
        <c:varyColors val="0"/>
        <c:ser>
          <c:idx val="0"/>
          <c:order val="0"/>
          <c:tx>
            <c:strRef>
              <c:f>'Exhibit 1 - Gaussian dist.'!$C$3</c:f>
              <c:strCache>
                <c:ptCount val="1"/>
                <c:pt idx="0">
                  <c:v>X</c:v>
                </c:pt>
              </c:strCache>
            </c:strRef>
          </c:tx>
          <c:spPr>
            <a:ln w="25400" cap="rnd">
              <a:noFill/>
              <a:round/>
            </a:ln>
            <a:effectLst/>
          </c:spPr>
          <c:marker>
            <c:symbol val="circle"/>
            <c:size val="5"/>
            <c:spPr>
              <a:solidFill>
                <a:schemeClr val="accent1"/>
              </a:solidFill>
              <a:ln w="9525">
                <a:solidFill>
                  <a:schemeClr val="accent1"/>
                </a:solidFill>
              </a:ln>
              <a:effectLst/>
            </c:spPr>
          </c:marker>
          <c:xVal>
            <c:strRef>
              <c:f>'Exhibit 1 - Gaussian dist.'!$C$4:$C$53</c:f>
              <c:strCache>
                <c:ptCount val="11"/>
                <c:pt idx="0">
                  <c:v>-5</c:v>
                </c:pt>
                <c:pt idx="1">
                  <c:v>-4</c:v>
                </c:pt>
                <c:pt idx="2">
                  <c:v>-3</c:v>
                </c:pt>
                <c:pt idx="3">
                  <c:v>-2</c:v>
                </c:pt>
                <c:pt idx="4">
                  <c:v>-1</c:v>
                </c:pt>
                <c:pt idx="5">
                  <c:v>0</c:v>
                </c:pt>
                <c:pt idx="6">
                  <c:v>1</c:v>
                </c:pt>
                <c:pt idx="7">
                  <c:v>2</c:v>
                </c:pt>
                <c:pt idx="8">
                  <c:v>3</c:v>
                </c:pt>
                <c:pt idx="9">
                  <c:v>4</c:v>
                </c:pt>
                <c:pt idx="10">
                  <c:v>5</c:v>
                </c:pt>
              </c:strCache>
            </c:strRef>
          </c:xVal>
          <c:yVal>
            <c:numRef>
              <c:f>'Exhibit 1 - Gaussian dist.'!$B$4:$B$53</c:f>
              <c:numCache>
                <c:formatCode>General</c:formatCode>
                <c:ptCount val="50"/>
                <c:pt idx="0">
                  <c:v>3.3159046264249557E-2</c:v>
                </c:pt>
                <c:pt idx="1">
                  <c:v>8.782907115624744E-2</c:v>
                </c:pt>
                <c:pt idx="2">
                  <c:v>0.16848597932929521</c:v>
                </c:pt>
                <c:pt idx="3">
                  <c:v>0.27496864783674596</c:v>
                </c:pt>
                <c:pt idx="4">
                  <c:v>0.40076305706774368</c:v>
                </c:pt>
                <c:pt idx="5">
                  <c:v>0.53374381720155462</c:v>
                </c:pt>
                <c:pt idx="6">
                  <c:v>0.65953822643255233</c:v>
                </c:pt>
                <c:pt idx="7">
                  <c:v>0.76602089494000314</c:v>
                </c:pt>
                <c:pt idx="8">
                  <c:v>0.84667780311305096</c:v>
                </c:pt>
                <c:pt idx="9">
                  <c:v>0.90134782800504887</c:v>
                </c:pt>
                <c:pt idx="10">
                  <c:v>0.93450687426929846</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yVal>
          <c:smooth val="0"/>
          <c:extLst>
            <c:ext xmlns:c16="http://schemas.microsoft.com/office/drawing/2014/chart" uri="{C3380CC4-5D6E-409C-BE32-E72D297353CC}">
              <c16:uniqueId val="{00000000-7459-49B3-BDA7-1A37C89B4592}"/>
            </c:ext>
          </c:extLst>
        </c:ser>
        <c:dLbls>
          <c:showLegendKey val="0"/>
          <c:showVal val="0"/>
          <c:showCatName val="0"/>
          <c:showSerName val="0"/>
          <c:showPercent val="0"/>
          <c:showBubbleSize val="0"/>
        </c:dLbls>
        <c:axId val="342548912"/>
        <c:axId val="341135304"/>
      </c:scatterChart>
      <c:valAx>
        <c:axId val="34254891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341135304"/>
        <c:crosses val="autoZero"/>
        <c:crossBetween val="midCat"/>
      </c:valAx>
      <c:valAx>
        <c:axId val="3411353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34254891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scatterChart>
        <c:scatterStyle val="lineMarker"/>
        <c:varyColors val="0"/>
        <c:ser>
          <c:idx val="1"/>
          <c:order val="0"/>
          <c:tx>
            <c:strRef>
              <c:f>'Exhibit 1 - Gaussian dist.'!$D$3</c:f>
              <c:strCache>
                <c:ptCount val="1"/>
                <c:pt idx="0">
                  <c:v>F(x)</c:v>
                </c:pt>
              </c:strCache>
            </c:strRef>
          </c:tx>
          <c:spPr>
            <a:ln w="25400" cap="rnd">
              <a:noFill/>
              <a:round/>
            </a:ln>
            <a:effectLst/>
          </c:spPr>
          <c:marker>
            <c:symbol val="circle"/>
            <c:size val="5"/>
            <c:spPr>
              <a:solidFill>
                <a:schemeClr val="accent2"/>
              </a:solidFill>
              <a:ln w="9525">
                <a:solidFill>
                  <a:schemeClr val="accent2"/>
                </a:solidFill>
              </a:ln>
              <a:effectLst/>
            </c:spPr>
          </c:marker>
          <c:xVal>
            <c:strRef>
              <c:f>'Exhibit 1 - Gaussian dist.'!$C$4:$C$53</c:f>
              <c:strCache>
                <c:ptCount val="11"/>
                <c:pt idx="0">
                  <c:v>-5</c:v>
                </c:pt>
                <c:pt idx="1">
                  <c:v>-4</c:v>
                </c:pt>
                <c:pt idx="2">
                  <c:v>-3</c:v>
                </c:pt>
                <c:pt idx="3">
                  <c:v>-2</c:v>
                </c:pt>
                <c:pt idx="4">
                  <c:v>-1</c:v>
                </c:pt>
                <c:pt idx="5">
                  <c:v>0</c:v>
                </c:pt>
                <c:pt idx="6">
                  <c:v>1</c:v>
                </c:pt>
                <c:pt idx="7">
                  <c:v>2</c:v>
                </c:pt>
                <c:pt idx="8">
                  <c:v>3</c:v>
                </c:pt>
                <c:pt idx="9">
                  <c:v>4</c:v>
                </c:pt>
                <c:pt idx="10">
                  <c:v>5</c:v>
                </c:pt>
              </c:strCache>
            </c:strRef>
          </c:xVal>
          <c:yVal>
            <c:numRef>
              <c:f>'Exhibit 1 - Gaussian dist.'!$D$4:$D$53</c:f>
              <c:numCache>
                <c:formatCode>General</c:formatCode>
                <c:ptCount val="50"/>
                <c:pt idx="0">
                  <c:v>3.3159046264249557E-2</c:v>
                </c:pt>
                <c:pt idx="1">
                  <c:v>5.4670024891997876E-2</c:v>
                </c:pt>
                <c:pt idx="2">
                  <c:v>8.0656908173047784E-2</c:v>
                </c:pt>
                <c:pt idx="3">
                  <c:v>0.10648266850745075</c:v>
                </c:pt>
                <c:pt idx="4">
                  <c:v>0.12579440923099772</c:v>
                </c:pt>
                <c:pt idx="5">
                  <c:v>0.13298076013381091</c:v>
                </c:pt>
                <c:pt idx="6">
                  <c:v>0.12579440923099772</c:v>
                </c:pt>
                <c:pt idx="7">
                  <c:v>0.10648266850745075</c:v>
                </c:pt>
                <c:pt idx="8">
                  <c:v>8.0656908173047784E-2</c:v>
                </c:pt>
                <c:pt idx="9">
                  <c:v>5.4670024891997876E-2</c:v>
                </c:pt>
                <c:pt idx="10">
                  <c:v>3.3159046264249557E-2</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yVal>
          <c:smooth val="0"/>
          <c:extLst>
            <c:ext xmlns:c16="http://schemas.microsoft.com/office/drawing/2014/chart" uri="{C3380CC4-5D6E-409C-BE32-E72D297353CC}">
              <c16:uniqueId val="{00000000-0A09-4F69-83D2-1DC54DFF3532}"/>
            </c:ext>
          </c:extLst>
        </c:ser>
        <c:dLbls>
          <c:showLegendKey val="0"/>
          <c:showVal val="0"/>
          <c:showCatName val="0"/>
          <c:showSerName val="0"/>
          <c:showPercent val="0"/>
          <c:showBubbleSize val="0"/>
        </c:dLbls>
        <c:axId val="341132560"/>
        <c:axId val="341132952"/>
      </c:scatterChart>
      <c:valAx>
        <c:axId val="34113256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341132952"/>
        <c:crosses val="autoZero"/>
        <c:crossBetween val="midCat"/>
      </c:valAx>
      <c:valAx>
        <c:axId val="3411329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34113256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scatterChart>
        <c:scatterStyle val="lineMarker"/>
        <c:varyColors val="0"/>
        <c:ser>
          <c:idx val="1"/>
          <c:order val="0"/>
          <c:tx>
            <c:strRef>
              <c:f>'Exhibit 1 - Gaussian dist.'!$F$3</c:f>
              <c:strCache>
                <c:ptCount val="1"/>
                <c:pt idx="0">
                  <c:v>Adjusted F(x)</c:v>
                </c:pt>
              </c:strCache>
            </c:strRef>
          </c:tx>
          <c:spPr>
            <a:ln w="25400" cap="rnd">
              <a:noFill/>
              <a:round/>
            </a:ln>
            <a:effectLst/>
          </c:spPr>
          <c:marker>
            <c:symbol val="circle"/>
            <c:size val="5"/>
            <c:spPr>
              <a:solidFill>
                <a:schemeClr val="accent2"/>
              </a:solidFill>
              <a:ln w="9525">
                <a:solidFill>
                  <a:schemeClr val="accent2"/>
                </a:solidFill>
              </a:ln>
              <a:effectLst/>
            </c:spPr>
          </c:marker>
          <c:xVal>
            <c:strRef>
              <c:f>'Exhibit 1 - Gaussian dist.'!$C$4:$C$53</c:f>
              <c:strCache>
                <c:ptCount val="11"/>
                <c:pt idx="0">
                  <c:v>-5</c:v>
                </c:pt>
                <c:pt idx="1">
                  <c:v>-4</c:v>
                </c:pt>
                <c:pt idx="2">
                  <c:v>-3</c:v>
                </c:pt>
                <c:pt idx="3">
                  <c:v>-2</c:v>
                </c:pt>
                <c:pt idx="4">
                  <c:v>-1</c:v>
                </c:pt>
                <c:pt idx="5">
                  <c:v>0</c:v>
                </c:pt>
                <c:pt idx="6">
                  <c:v>1</c:v>
                </c:pt>
                <c:pt idx="7">
                  <c:v>2</c:v>
                </c:pt>
                <c:pt idx="8">
                  <c:v>3</c:v>
                </c:pt>
                <c:pt idx="9">
                  <c:v>4</c:v>
                </c:pt>
                <c:pt idx="10">
                  <c:v>5</c:v>
                </c:pt>
              </c:strCache>
            </c:strRef>
          </c:xVal>
          <c:yVal>
            <c:numRef>
              <c:f>'Exhibit 1 - Gaussian dist.'!$F$4:$F$53</c:f>
              <c:numCache>
                <c:formatCode>General</c:formatCode>
                <c:ptCount val="50"/>
                <c:pt idx="0">
                  <c:v>0.35482934558589518</c:v>
                </c:pt>
                <c:pt idx="1">
                  <c:v>0.58501468953607216</c:v>
                </c:pt>
                <c:pt idx="2">
                  <c:v>0.86309593213120384</c:v>
                </c:pt>
                <c:pt idx="3">
                  <c:v>1.1394530253264401</c:v>
                </c:pt>
                <c:pt idx="4">
                  <c:v>1.3461046964406527</c:v>
                </c:pt>
                <c:pt idx="5">
                  <c:v>1.4230046219594701</c:v>
                </c:pt>
                <c:pt idx="6">
                  <c:v>1.3461046964406527</c:v>
                </c:pt>
                <c:pt idx="7">
                  <c:v>1.1394530253264401</c:v>
                </c:pt>
                <c:pt idx="8">
                  <c:v>0.86309593213120384</c:v>
                </c:pt>
                <c:pt idx="9">
                  <c:v>0.58501468953607216</c:v>
                </c:pt>
                <c:pt idx="10">
                  <c:v>0.35482934558589518</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yVal>
          <c:smooth val="0"/>
          <c:extLst>
            <c:ext xmlns:c16="http://schemas.microsoft.com/office/drawing/2014/chart" uri="{C3380CC4-5D6E-409C-BE32-E72D297353CC}">
              <c16:uniqueId val="{00000000-792B-4FB1-BD6E-491C9D4EF641}"/>
            </c:ext>
          </c:extLst>
        </c:ser>
        <c:dLbls>
          <c:showLegendKey val="0"/>
          <c:showVal val="0"/>
          <c:showCatName val="0"/>
          <c:showSerName val="0"/>
          <c:showPercent val="0"/>
          <c:showBubbleSize val="0"/>
        </c:dLbls>
        <c:axId val="341133736"/>
        <c:axId val="341134128"/>
      </c:scatterChart>
      <c:valAx>
        <c:axId val="3411337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341134128"/>
        <c:crosses val="autoZero"/>
        <c:crossBetween val="midCat"/>
      </c:valAx>
      <c:valAx>
        <c:axId val="3411341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34113373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Adjusted F(x)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scatterChart>
        <c:scatterStyle val="lineMarker"/>
        <c:varyColors val="0"/>
        <c:ser>
          <c:idx val="0"/>
          <c:order val="0"/>
          <c:tx>
            <c:strRef>
              <c:f>'Exhibit 1 - Gaussian dist.'!$E$3</c:f>
              <c:strCache>
                <c:ptCount val="1"/>
                <c:pt idx="0">
                  <c:v>Adj. F(x) Cumulat.</c:v>
                </c:pt>
              </c:strCache>
            </c:strRef>
          </c:tx>
          <c:spPr>
            <a:ln w="25400" cap="rnd">
              <a:noFill/>
              <a:round/>
            </a:ln>
            <a:effectLst/>
          </c:spPr>
          <c:marker>
            <c:symbol val="circle"/>
            <c:size val="5"/>
            <c:spPr>
              <a:solidFill>
                <a:schemeClr val="accent1"/>
              </a:solidFill>
              <a:ln w="9525">
                <a:solidFill>
                  <a:schemeClr val="accent1"/>
                </a:solidFill>
              </a:ln>
              <a:effectLst/>
            </c:spPr>
          </c:marker>
          <c:xVal>
            <c:strRef>
              <c:f>'Exhibit 1 - Gaussian dist.'!$C$4:$C$53</c:f>
              <c:strCache>
                <c:ptCount val="11"/>
                <c:pt idx="0">
                  <c:v>-5</c:v>
                </c:pt>
                <c:pt idx="1">
                  <c:v>-4</c:v>
                </c:pt>
                <c:pt idx="2">
                  <c:v>-3</c:v>
                </c:pt>
                <c:pt idx="3">
                  <c:v>-2</c:v>
                </c:pt>
                <c:pt idx="4">
                  <c:v>-1</c:v>
                </c:pt>
                <c:pt idx="5">
                  <c:v>0</c:v>
                </c:pt>
                <c:pt idx="6">
                  <c:v>1</c:v>
                </c:pt>
                <c:pt idx="7">
                  <c:v>2</c:v>
                </c:pt>
                <c:pt idx="8">
                  <c:v>3</c:v>
                </c:pt>
                <c:pt idx="9">
                  <c:v>4</c:v>
                </c:pt>
                <c:pt idx="10">
                  <c:v>5</c:v>
                </c:pt>
              </c:strCache>
            </c:strRef>
          </c:xVal>
          <c:yVal>
            <c:numRef>
              <c:f>'Exhibit 1 - Gaussian dist.'!$E$4:$E$53</c:f>
              <c:numCache>
                <c:formatCode>General</c:formatCode>
                <c:ptCount val="50"/>
                <c:pt idx="0">
                  <c:v>0.35482934558589518</c:v>
                </c:pt>
                <c:pt idx="1">
                  <c:v>0.93984403512196735</c:v>
                </c:pt>
                <c:pt idx="2">
                  <c:v>1.8029399672531712</c:v>
                </c:pt>
                <c:pt idx="3">
                  <c:v>2.9423929925796113</c:v>
                </c:pt>
                <c:pt idx="4">
                  <c:v>4.2884976890202644</c:v>
                </c:pt>
                <c:pt idx="5">
                  <c:v>5.7115023109797347</c:v>
                </c:pt>
                <c:pt idx="6">
                  <c:v>7.0576070074203869</c:v>
                </c:pt>
                <c:pt idx="7">
                  <c:v>8.1970600327468262</c:v>
                </c:pt>
                <c:pt idx="8">
                  <c:v>9.0601559648780299</c:v>
                </c:pt>
                <c:pt idx="9">
                  <c:v>9.6451706544141018</c:v>
                </c:pt>
                <c:pt idx="10">
                  <c:v>9.9999999999999964</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yVal>
          <c:smooth val="0"/>
          <c:extLst>
            <c:ext xmlns:c16="http://schemas.microsoft.com/office/drawing/2014/chart" uri="{C3380CC4-5D6E-409C-BE32-E72D297353CC}">
              <c16:uniqueId val="{00000000-60C1-4856-8B3D-C9D9C36B81CF}"/>
            </c:ext>
          </c:extLst>
        </c:ser>
        <c:dLbls>
          <c:showLegendKey val="0"/>
          <c:showVal val="0"/>
          <c:showCatName val="0"/>
          <c:showSerName val="0"/>
          <c:showPercent val="0"/>
          <c:showBubbleSize val="0"/>
        </c:dLbls>
        <c:axId val="345121184"/>
        <c:axId val="345121968"/>
      </c:scatterChart>
      <c:valAx>
        <c:axId val="34512118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345121968"/>
        <c:crosses val="autoZero"/>
        <c:crossBetween val="midCat"/>
      </c:valAx>
      <c:valAx>
        <c:axId val="3451219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34512118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scatterChart>
        <c:scatterStyle val="lineMarker"/>
        <c:varyColors val="0"/>
        <c:ser>
          <c:idx val="0"/>
          <c:order val="0"/>
          <c:tx>
            <c:strRef>
              <c:f>'Exhibit 2 - Logistic dist.'!$C$3</c:f>
              <c:strCache>
                <c:ptCount val="1"/>
                <c:pt idx="0">
                  <c:v>X</c:v>
                </c:pt>
              </c:strCache>
            </c:strRef>
          </c:tx>
          <c:spPr>
            <a:ln w="25400" cap="rnd">
              <a:noFill/>
              <a:round/>
            </a:ln>
            <a:effectLst/>
          </c:spPr>
          <c:marker>
            <c:symbol val="circle"/>
            <c:size val="5"/>
            <c:spPr>
              <a:solidFill>
                <a:schemeClr val="accent1"/>
              </a:solidFill>
              <a:ln w="9525">
                <a:solidFill>
                  <a:schemeClr val="accent1"/>
                </a:solidFill>
              </a:ln>
              <a:effectLst/>
            </c:spPr>
          </c:marker>
          <c:xVal>
            <c:strRef>
              <c:f>'Exhibit 2 - Logistic dist.'!$C$4:$C$53</c:f>
              <c:strCache>
                <c:ptCount val="12"/>
                <c:pt idx="0">
                  <c:v>-5,5</c:v>
                </c:pt>
                <c:pt idx="1">
                  <c:v>-4,5</c:v>
                </c:pt>
                <c:pt idx="2">
                  <c:v>-3,5</c:v>
                </c:pt>
                <c:pt idx="3">
                  <c:v>-2,5</c:v>
                </c:pt>
                <c:pt idx="4">
                  <c:v>-1,5</c:v>
                </c:pt>
                <c:pt idx="5">
                  <c:v>-0,5</c:v>
                </c:pt>
                <c:pt idx="6">
                  <c:v>0,5</c:v>
                </c:pt>
                <c:pt idx="7">
                  <c:v>1,5</c:v>
                </c:pt>
                <c:pt idx="8">
                  <c:v>2,5</c:v>
                </c:pt>
                <c:pt idx="9">
                  <c:v>3,5</c:v>
                </c:pt>
                <c:pt idx="10">
                  <c:v>4,5</c:v>
                </c:pt>
                <c:pt idx="11">
                  <c:v>5,5</c:v>
                </c:pt>
              </c:strCache>
            </c:strRef>
          </c:xVal>
          <c:yVal>
            <c:numRef>
              <c:f>'Exhibit 2 - Logistic dist.'!$B$4:$B$53</c:f>
              <c:numCache>
                <c:formatCode>General</c:formatCode>
                <c:ptCount val="50"/>
                <c:pt idx="0">
                  <c:v>0.60086650174007628</c:v>
                </c:pt>
                <c:pt idx="1">
                  <c:v>0.95349464899109493</c:v>
                </c:pt>
                <c:pt idx="2">
                  <c:v>1.4804719803168946</c:v>
                </c:pt>
                <c:pt idx="3">
                  <c:v>2.2270013882530884</c:v>
                </c:pt>
                <c:pt idx="4">
                  <c:v>3.2082130082460703</c:v>
                </c:pt>
                <c:pt idx="5">
                  <c:v>4.3782349911420191</c:v>
                </c:pt>
                <c:pt idx="6">
                  <c:v>5.6217650088579809</c:v>
                </c:pt>
                <c:pt idx="7">
                  <c:v>6.7917869917539289</c:v>
                </c:pt>
                <c:pt idx="8">
                  <c:v>7.7729986117469112</c:v>
                </c:pt>
                <c:pt idx="9">
                  <c:v>8.519528019683106</c:v>
                </c:pt>
                <c:pt idx="10">
                  <c:v>9.0465053510089053</c:v>
                </c:pt>
                <c:pt idx="11">
                  <c:v>9.3991334982599231</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yVal>
          <c:smooth val="0"/>
          <c:extLst>
            <c:ext xmlns:c16="http://schemas.microsoft.com/office/drawing/2014/chart" uri="{C3380CC4-5D6E-409C-BE32-E72D297353CC}">
              <c16:uniqueId val="{00000000-AECC-47AF-B76E-4C085947EE5C}"/>
            </c:ext>
          </c:extLst>
        </c:ser>
        <c:dLbls>
          <c:showLegendKey val="0"/>
          <c:showVal val="0"/>
          <c:showCatName val="0"/>
          <c:showSerName val="0"/>
          <c:showPercent val="0"/>
          <c:showBubbleSize val="0"/>
        </c:dLbls>
        <c:axId val="345117656"/>
        <c:axId val="345120008"/>
      </c:scatterChart>
      <c:valAx>
        <c:axId val="34511765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345120008"/>
        <c:crosses val="autoZero"/>
        <c:crossBetween val="midCat"/>
      </c:valAx>
      <c:valAx>
        <c:axId val="3451200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34511765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scatterChart>
        <c:scatterStyle val="lineMarker"/>
        <c:varyColors val="0"/>
        <c:ser>
          <c:idx val="1"/>
          <c:order val="0"/>
          <c:tx>
            <c:strRef>
              <c:f>'Exhibit 2 - Logistic dist.'!$D$3</c:f>
              <c:strCache>
                <c:ptCount val="1"/>
                <c:pt idx="0">
                  <c:v>F(x) Dist.</c:v>
                </c:pt>
              </c:strCache>
            </c:strRef>
          </c:tx>
          <c:spPr>
            <a:ln w="25400" cap="rnd">
              <a:noFill/>
              <a:round/>
            </a:ln>
            <a:effectLst/>
          </c:spPr>
          <c:marker>
            <c:symbol val="circle"/>
            <c:size val="5"/>
            <c:spPr>
              <a:solidFill>
                <a:schemeClr val="accent2"/>
              </a:solidFill>
              <a:ln w="9525">
                <a:solidFill>
                  <a:schemeClr val="accent2"/>
                </a:solidFill>
              </a:ln>
              <a:effectLst/>
            </c:spPr>
          </c:marker>
          <c:xVal>
            <c:strRef>
              <c:f>'Exhibit 2 - Logistic dist.'!$C$4:$C$53</c:f>
              <c:strCache>
                <c:ptCount val="12"/>
                <c:pt idx="0">
                  <c:v>-5.5</c:v>
                </c:pt>
                <c:pt idx="1">
                  <c:v>-4.5</c:v>
                </c:pt>
                <c:pt idx="2">
                  <c:v>-3.5</c:v>
                </c:pt>
                <c:pt idx="3">
                  <c:v>-2.5</c:v>
                </c:pt>
                <c:pt idx="4">
                  <c:v>-1.5</c:v>
                </c:pt>
                <c:pt idx="5">
                  <c:v>-0.5</c:v>
                </c:pt>
                <c:pt idx="6">
                  <c:v>0.5</c:v>
                </c:pt>
                <c:pt idx="7">
                  <c:v>1.5</c:v>
                </c:pt>
                <c:pt idx="8">
                  <c:v>2.5</c:v>
                </c:pt>
                <c:pt idx="9">
                  <c:v>3.5</c:v>
                </c:pt>
                <c:pt idx="10">
                  <c:v>4.5</c:v>
                </c:pt>
                <c:pt idx="11">
                  <c:v>5.5</c:v>
                </c:pt>
              </c:strCache>
            </c:strRef>
          </c:xVal>
          <c:yVal>
            <c:numRef>
              <c:f>'Exhibit 2 - Logistic dist.'!$D$4:$D$53</c:f>
              <c:numCache>
                <c:formatCode>General</c:formatCode>
                <c:ptCount val="50"/>
                <c:pt idx="0">
                  <c:v>0.60086650174007628</c:v>
                </c:pt>
                <c:pt idx="1">
                  <c:v>0.35262814725101865</c:v>
                </c:pt>
                <c:pt idx="2">
                  <c:v>0.52697733132579971</c:v>
                </c:pt>
                <c:pt idx="3">
                  <c:v>0.74652940793619371</c:v>
                </c:pt>
                <c:pt idx="4">
                  <c:v>0.9812116199929819</c:v>
                </c:pt>
                <c:pt idx="5">
                  <c:v>1.1700219828959488</c:v>
                </c:pt>
                <c:pt idx="6">
                  <c:v>1.2435300177159618</c:v>
                </c:pt>
                <c:pt idx="7">
                  <c:v>1.1700219828959479</c:v>
                </c:pt>
                <c:pt idx="8">
                  <c:v>0.98121161999298234</c:v>
                </c:pt>
                <c:pt idx="9">
                  <c:v>0.74652940793619482</c:v>
                </c:pt>
                <c:pt idx="10">
                  <c:v>0.52697733132579927</c:v>
                </c:pt>
                <c:pt idx="11">
                  <c:v>0.35262814725101777</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yVal>
          <c:smooth val="0"/>
          <c:extLst>
            <c:ext xmlns:c16="http://schemas.microsoft.com/office/drawing/2014/chart" uri="{C3380CC4-5D6E-409C-BE32-E72D297353CC}">
              <c16:uniqueId val="{00000000-BC28-4389-8917-9DA3A054F42E}"/>
            </c:ext>
          </c:extLst>
        </c:ser>
        <c:dLbls>
          <c:showLegendKey val="0"/>
          <c:showVal val="0"/>
          <c:showCatName val="0"/>
          <c:showSerName val="0"/>
          <c:showPercent val="0"/>
          <c:showBubbleSize val="0"/>
        </c:dLbls>
        <c:axId val="345119224"/>
        <c:axId val="345121576"/>
      </c:scatterChart>
      <c:valAx>
        <c:axId val="34511922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345121576"/>
        <c:crosses val="autoZero"/>
        <c:crossBetween val="midCat"/>
      </c:valAx>
      <c:valAx>
        <c:axId val="3451215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34511922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scatterChart>
        <c:scatterStyle val="lineMarker"/>
        <c:varyColors val="0"/>
        <c:ser>
          <c:idx val="1"/>
          <c:order val="0"/>
          <c:tx>
            <c:strRef>
              <c:f>'Exhibit 2 - Logistic dist.'!$F$3</c:f>
              <c:strCache>
                <c:ptCount val="1"/>
                <c:pt idx="0">
                  <c:v>Adj. F(x) Dist.</c:v>
                </c:pt>
              </c:strCache>
            </c:strRef>
          </c:tx>
          <c:spPr>
            <a:ln w="25400" cap="rnd">
              <a:noFill/>
              <a:round/>
            </a:ln>
            <a:effectLst/>
          </c:spPr>
          <c:marker>
            <c:symbol val="circle"/>
            <c:size val="5"/>
            <c:spPr>
              <a:solidFill>
                <a:schemeClr val="accent2"/>
              </a:solidFill>
              <a:ln w="9525">
                <a:solidFill>
                  <a:schemeClr val="accent2"/>
                </a:solidFill>
              </a:ln>
              <a:effectLst/>
            </c:spPr>
          </c:marker>
          <c:xVal>
            <c:strRef>
              <c:f>'Exhibit 2 - Logistic dist.'!$C$4:$C$53</c:f>
              <c:strCache>
                <c:ptCount val="12"/>
                <c:pt idx="0">
                  <c:v>-5.5</c:v>
                </c:pt>
                <c:pt idx="1">
                  <c:v>-4.5</c:v>
                </c:pt>
                <c:pt idx="2">
                  <c:v>-3.5</c:v>
                </c:pt>
                <c:pt idx="3">
                  <c:v>-2.5</c:v>
                </c:pt>
                <c:pt idx="4">
                  <c:v>-1.5</c:v>
                </c:pt>
                <c:pt idx="5">
                  <c:v>-0.5</c:v>
                </c:pt>
                <c:pt idx="6">
                  <c:v>0.5</c:v>
                </c:pt>
                <c:pt idx="7">
                  <c:v>1.5</c:v>
                </c:pt>
                <c:pt idx="8">
                  <c:v>2.5</c:v>
                </c:pt>
                <c:pt idx="9">
                  <c:v>3.5</c:v>
                </c:pt>
                <c:pt idx="10">
                  <c:v>4.5</c:v>
                </c:pt>
                <c:pt idx="11">
                  <c:v>5.5</c:v>
                </c:pt>
              </c:strCache>
            </c:strRef>
          </c:xVal>
          <c:yVal>
            <c:numRef>
              <c:f>'Exhibit 2 - Logistic dist.'!$F$4:$F$53</c:f>
              <c:numCache>
                <c:formatCode>General</c:formatCode>
                <c:ptCount val="50"/>
                <c:pt idx="1">
                  <c:v>0.40079273269440524</c:v>
                </c:pt>
                <c:pt idx="2">
                  <c:v>0.59895583020411358</c:v>
                </c:pt>
                <c:pt idx="3">
                  <c:v>0.84849596884418643</c:v>
                </c:pt>
                <c:pt idx="4">
                  <c:v>1.1152328298073928</c:v>
                </c:pt>
                <c:pt idx="5">
                  <c:v>1.3298323219319792</c:v>
                </c:pt>
                <c:pt idx="6">
                  <c:v>1.4133806330358467</c:v>
                </c:pt>
                <c:pt idx="7">
                  <c:v>1.3298323219319783</c:v>
                </c:pt>
                <c:pt idx="8">
                  <c:v>1.1152328298073932</c:v>
                </c:pt>
                <c:pt idx="9">
                  <c:v>0.84849596884418765</c:v>
                </c:pt>
                <c:pt idx="10">
                  <c:v>0.59895583020411303</c:v>
                </c:pt>
                <c:pt idx="11">
                  <c:v>0.40079273269440424</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yVal>
          <c:smooth val="0"/>
          <c:extLst>
            <c:ext xmlns:c16="http://schemas.microsoft.com/office/drawing/2014/chart" uri="{C3380CC4-5D6E-409C-BE32-E72D297353CC}">
              <c16:uniqueId val="{00000000-1F17-4239-AE64-93FF7EB4D7F1}"/>
            </c:ext>
          </c:extLst>
        </c:ser>
        <c:dLbls>
          <c:showLegendKey val="0"/>
          <c:showVal val="0"/>
          <c:showCatName val="0"/>
          <c:showSerName val="0"/>
          <c:showPercent val="0"/>
          <c:showBubbleSize val="0"/>
        </c:dLbls>
        <c:axId val="345118048"/>
        <c:axId val="345118832"/>
      </c:scatterChart>
      <c:valAx>
        <c:axId val="3451180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345118832"/>
        <c:crosses val="autoZero"/>
        <c:crossBetween val="midCat"/>
      </c:valAx>
      <c:valAx>
        <c:axId val="3451188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34511804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Adjusted F(x)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scatterChart>
        <c:scatterStyle val="lineMarker"/>
        <c:varyColors val="0"/>
        <c:ser>
          <c:idx val="0"/>
          <c:order val="0"/>
          <c:tx>
            <c:strRef>
              <c:f>'Exhibit 2 - Logistic dist.'!$E$3</c:f>
              <c:strCache>
                <c:ptCount val="1"/>
                <c:pt idx="0">
                  <c:v>Adjusted F(x)</c:v>
                </c:pt>
              </c:strCache>
            </c:strRef>
          </c:tx>
          <c:spPr>
            <a:ln w="25400" cap="rnd">
              <a:noFill/>
              <a:round/>
            </a:ln>
            <a:effectLst/>
          </c:spPr>
          <c:marker>
            <c:symbol val="circle"/>
            <c:size val="5"/>
            <c:spPr>
              <a:solidFill>
                <a:schemeClr val="accent1"/>
              </a:solidFill>
              <a:ln w="9525">
                <a:solidFill>
                  <a:schemeClr val="accent1"/>
                </a:solidFill>
              </a:ln>
              <a:effectLst/>
            </c:spPr>
          </c:marker>
          <c:xVal>
            <c:strRef>
              <c:f>'Exhibit 2 - Logistic dist.'!$C$4:$C$53</c:f>
              <c:strCache>
                <c:ptCount val="12"/>
                <c:pt idx="0">
                  <c:v>-5,5</c:v>
                </c:pt>
                <c:pt idx="1">
                  <c:v>-4,5</c:v>
                </c:pt>
                <c:pt idx="2">
                  <c:v>-3,5</c:v>
                </c:pt>
                <c:pt idx="3">
                  <c:v>-2,5</c:v>
                </c:pt>
                <c:pt idx="4">
                  <c:v>-1,5</c:v>
                </c:pt>
                <c:pt idx="5">
                  <c:v>-0,5</c:v>
                </c:pt>
                <c:pt idx="6">
                  <c:v>0,5</c:v>
                </c:pt>
                <c:pt idx="7">
                  <c:v>1,5</c:v>
                </c:pt>
                <c:pt idx="8">
                  <c:v>2,5</c:v>
                </c:pt>
                <c:pt idx="9">
                  <c:v>3,5</c:v>
                </c:pt>
                <c:pt idx="10">
                  <c:v>4,5</c:v>
                </c:pt>
                <c:pt idx="11">
                  <c:v>5,5</c:v>
                </c:pt>
              </c:strCache>
            </c:strRef>
          </c:xVal>
          <c:yVal>
            <c:numRef>
              <c:f>'Exhibit 2 - Logistic dist.'!$E$4:$E$53</c:f>
              <c:numCache>
                <c:formatCode>General</c:formatCode>
                <c:ptCount val="50"/>
                <c:pt idx="1">
                  <c:v>0.40079273269440524</c:v>
                </c:pt>
                <c:pt idx="2">
                  <c:v>0.99974856289851877</c:v>
                </c:pt>
                <c:pt idx="3">
                  <c:v>1.8482445317427052</c:v>
                </c:pt>
                <c:pt idx="4">
                  <c:v>2.963477361550098</c:v>
                </c:pt>
                <c:pt idx="5">
                  <c:v>4.293309683482077</c:v>
                </c:pt>
                <c:pt idx="6">
                  <c:v>5.7066903165179239</c:v>
                </c:pt>
                <c:pt idx="7">
                  <c:v>7.0365226384499024</c:v>
                </c:pt>
                <c:pt idx="8">
                  <c:v>8.1517554682572957</c:v>
                </c:pt>
                <c:pt idx="9">
                  <c:v>9.0002514371014826</c:v>
                </c:pt>
                <c:pt idx="10">
                  <c:v>9.5992072673055961</c:v>
                </c:pt>
                <c:pt idx="11">
                  <c:v>10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yVal>
          <c:smooth val="0"/>
          <c:extLst>
            <c:ext xmlns:c16="http://schemas.microsoft.com/office/drawing/2014/chart" uri="{C3380CC4-5D6E-409C-BE32-E72D297353CC}">
              <c16:uniqueId val="{00000000-B846-4CF2-944D-36DDC2AE812F}"/>
            </c:ext>
          </c:extLst>
        </c:ser>
        <c:dLbls>
          <c:showLegendKey val="0"/>
          <c:showVal val="0"/>
          <c:showCatName val="0"/>
          <c:showSerName val="0"/>
          <c:showPercent val="0"/>
          <c:showBubbleSize val="0"/>
        </c:dLbls>
        <c:axId val="345122752"/>
        <c:axId val="345120792"/>
      </c:scatterChart>
      <c:valAx>
        <c:axId val="3451227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345120792"/>
        <c:crosses val="autoZero"/>
        <c:crossBetween val="midCat"/>
      </c:valAx>
      <c:valAx>
        <c:axId val="3451207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34512275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image" Target="../media/image1.png"/><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image" Target="../media/image2.png"/><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2</xdr:col>
      <xdr:colOff>257175</xdr:colOff>
      <xdr:row>16</xdr:row>
      <xdr:rowOff>142875</xdr:rowOff>
    </xdr:from>
    <xdr:to>
      <xdr:col>4</xdr:col>
      <xdr:colOff>390525</xdr:colOff>
      <xdr:row>18</xdr:row>
      <xdr:rowOff>57150</xdr:rowOff>
    </xdr:to>
    <xdr:sp macro="[0]!generate_custom_chart" textlink="">
      <xdr:nvSpPr>
        <xdr:cNvPr id="2" name="Rectangle: Rounded Corners 1">
          <a:extLst>
            <a:ext uri="{FF2B5EF4-FFF2-40B4-BE49-F238E27FC236}">
              <a16:creationId xmlns:a16="http://schemas.microsoft.com/office/drawing/2014/main" id="{D9B3FED3-0C4E-4469-8E9A-7203BCE44DE9}"/>
            </a:ext>
          </a:extLst>
        </xdr:cNvPr>
        <xdr:cNvSpPr/>
      </xdr:nvSpPr>
      <xdr:spPr>
        <a:xfrm>
          <a:off x="1181100" y="3105150"/>
          <a:ext cx="1638300" cy="295275"/>
        </a:xfrm>
        <a:prstGeom prst="roundRect">
          <a:avLst/>
        </a:prstGeom>
        <a:solidFill>
          <a:srgbClr val="0000FF"/>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b="1"/>
            <a:t>Generate</a:t>
          </a:r>
          <a:r>
            <a:rPr lang="es-ES" sz="1100" b="1" baseline="0"/>
            <a:t> Custom Charts</a:t>
          </a:r>
          <a:endParaRPr lang="es-ES" sz="1100" b="1"/>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15240</xdr:colOff>
      <xdr:row>7</xdr:row>
      <xdr:rowOff>15240</xdr:rowOff>
    </xdr:from>
    <xdr:to>
      <xdr:col>14</xdr:col>
      <xdr:colOff>320040</xdr:colOff>
      <xdr:row>22</xdr:row>
      <xdr:rowOff>15240</xdr:rowOff>
    </xdr:to>
    <xdr:graphicFrame macro="">
      <xdr:nvGraphicFramePr>
        <xdr:cNvPr id="2" name="Chart 1">
          <a:extLst>
            <a:ext uri="{FF2B5EF4-FFF2-40B4-BE49-F238E27FC236}">
              <a16:creationId xmlns:a16="http://schemas.microsoft.com/office/drawing/2014/main" id="{1C3800A7-0729-43EF-84BC-565DAB4F33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22</xdr:row>
      <xdr:rowOff>60960</xdr:rowOff>
    </xdr:from>
    <xdr:to>
      <xdr:col>14</xdr:col>
      <xdr:colOff>304800</xdr:colOff>
      <xdr:row>37</xdr:row>
      <xdr:rowOff>60960</xdr:rowOff>
    </xdr:to>
    <xdr:graphicFrame macro="">
      <xdr:nvGraphicFramePr>
        <xdr:cNvPr id="3" name="Chart 2">
          <a:extLst>
            <a:ext uri="{FF2B5EF4-FFF2-40B4-BE49-F238E27FC236}">
              <a16:creationId xmlns:a16="http://schemas.microsoft.com/office/drawing/2014/main" id="{9B51EDB1-19DE-4E8B-B181-E3CA62E3FD1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373380</xdr:colOff>
      <xdr:row>22</xdr:row>
      <xdr:rowOff>60960</xdr:rowOff>
    </xdr:from>
    <xdr:to>
      <xdr:col>22</xdr:col>
      <xdr:colOff>68580</xdr:colOff>
      <xdr:row>37</xdr:row>
      <xdr:rowOff>60960</xdr:rowOff>
    </xdr:to>
    <xdr:graphicFrame macro="">
      <xdr:nvGraphicFramePr>
        <xdr:cNvPr id="4" name="Chart 3">
          <a:extLst>
            <a:ext uri="{FF2B5EF4-FFF2-40B4-BE49-F238E27FC236}">
              <a16:creationId xmlns:a16="http://schemas.microsoft.com/office/drawing/2014/main" id="{D813BB55-1106-40E2-815A-66B22F08C9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373380</xdr:colOff>
      <xdr:row>7</xdr:row>
      <xdr:rowOff>15240</xdr:rowOff>
    </xdr:from>
    <xdr:to>
      <xdr:col>22</xdr:col>
      <xdr:colOff>68580</xdr:colOff>
      <xdr:row>22</xdr:row>
      <xdr:rowOff>15240</xdr:rowOff>
    </xdr:to>
    <xdr:graphicFrame macro="">
      <xdr:nvGraphicFramePr>
        <xdr:cNvPr id="5" name="Chart 4">
          <a:extLst>
            <a:ext uri="{FF2B5EF4-FFF2-40B4-BE49-F238E27FC236}">
              <a16:creationId xmlns:a16="http://schemas.microsoft.com/office/drawing/2014/main" id="{41FD7D5A-2538-482D-ABEF-3F15095412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7</xdr:col>
      <xdr:colOff>91440</xdr:colOff>
      <xdr:row>0</xdr:row>
      <xdr:rowOff>129540</xdr:rowOff>
    </xdr:from>
    <xdr:to>
      <xdr:col>11</xdr:col>
      <xdr:colOff>357802</xdr:colOff>
      <xdr:row>6</xdr:row>
      <xdr:rowOff>108450</xdr:rowOff>
    </xdr:to>
    <xdr:pic>
      <xdr:nvPicPr>
        <xdr:cNvPr id="6" name="Picture 5">
          <a:extLst>
            <a:ext uri="{FF2B5EF4-FFF2-40B4-BE49-F238E27FC236}">
              <a16:creationId xmlns:a16="http://schemas.microsoft.com/office/drawing/2014/main" id="{2CFABFFC-683F-4827-9B7F-6F281FA6F836}"/>
            </a:ext>
          </a:extLst>
        </xdr:cNvPr>
        <xdr:cNvPicPr>
          <a:picLocks noChangeAspect="1"/>
        </xdr:cNvPicPr>
      </xdr:nvPicPr>
      <xdr:blipFill>
        <a:blip xmlns:r="http://schemas.openxmlformats.org/officeDocument/2006/relationships" r:embed="rId5"/>
        <a:stretch>
          <a:fillRect/>
        </a:stretch>
      </xdr:blipFill>
      <xdr:spPr>
        <a:xfrm>
          <a:off x="4653915" y="129540"/>
          <a:ext cx="2704762" cy="112191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7</xdr:col>
      <xdr:colOff>22860</xdr:colOff>
      <xdr:row>7</xdr:row>
      <xdr:rowOff>15240</xdr:rowOff>
    </xdr:from>
    <xdr:to>
      <xdr:col>14</xdr:col>
      <xdr:colOff>327660</xdr:colOff>
      <xdr:row>22</xdr:row>
      <xdr:rowOff>15240</xdr:rowOff>
    </xdr:to>
    <xdr:graphicFrame macro="">
      <xdr:nvGraphicFramePr>
        <xdr:cNvPr id="2" name="Chart 1">
          <a:extLst>
            <a:ext uri="{FF2B5EF4-FFF2-40B4-BE49-F238E27FC236}">
              <a16:creationId xmlns:a16="http://schemas.microsoft.com/office/drawing/2014/main" id="{BF590B7E-342F-4E24-8269-F4AA265131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22860</xdr:colOff>
      <xdr:row>22</xdr:row>
      <xdr:rowOff>68580</xdr:rowOff>
    </xdr:from>
    <xdr:to>
      <xdr:col>14</xdr:col>
      <xdr:colOff>327660</xdr:colOff>
      <xdr:row>37</xdr:row>
      <xdr:rowOff>68580</xdr:rowOff>
    </xdr:to>
    <xdr:graphicFrame macro="">
      <xdr:nvGraphicFramePr>
        <xdr:cNvPr id="3" name="Chart 2">
          <a:extLst>
            <a:ext uri="{FF2B5EF4-FFF2-40B4-BE49-F238E27FC236}">
              <a16:creationId xmlns:a16="http://schemas.microsoft.com/office/drawing/2014/main" id="{03DE9A22-8421-4572-872D-A98B2501A91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403860</xdr:colOff>
      <xdr:row>22</xdr:row>
      <xdr:rowOff>60960</xdr:rowOff>
    </xdr:from>
    <xdr:to>
      <xdr:col>22</xdr:col>
      <xdr:colOff>99060</xdr:colOff>
      <xdr:row>37</xdr:row>
      <xdr:rowOff>60960</xdr:rowOff>
    </xdr:to>
    <xdr:graphicFrame macro="">
      <xdr:nvGraphicFramePr>
        <xdr:cNvPr id="4" name="Chart 3">
          <a:extLst>
            <a:ext uri="{FF2B5EF4-FFF2-40B4-BE49-F238E27FC236}">
              <a16:creationId xmlns:a16="http://schemas.microsoft.com/office/drawing/2014/main" id="{3324F120-6AF2-4CA6-82EF-ED7D88414A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396240</xdr:colOff>
      <xdr:row>7</xdr:row>
      <xdr:rowOff>15240</xdr:rowOff>
    </xdr:from>
    <xdr:to>
      <xdr:col>22</xdr:col>
      <xdr:colOff>91440</xdr:colOff>
      <xdr:row>22</xdr:row>
      <xdr:rowOff>15240</xdr:rowOff>
    </xdr:to>
    <xdr:graphicFrame macro="">
      <xdr:nvGraphicFramePr>
        <xdr:cNvPr id="5" name="Chart 4">
          <a:extLst>
            <a:ext uri="{FF2B5EF4-FFF2-40B4-BE49-F238E27FC236}">
              <a16:creationId xmlns:a16="http://schemas.microsoft.com/office/drawing/2014/main" id="{DC00757C-E7D1-4A47-844A-6BBDC4685A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7</xdr:col>
      <xdr:colOff>335280</xdr:colOff>
      <xdr:row>1</xdr:row>
      <xdr:rowOff>129540</xdr:rowOff>
    </xdr:from>
    <xdr:to>
      <xdr:col>12</xdr:col>
      <xdr:colOff>87280</xdr:colOff>
      <xdr:row>6</xdr:row>
      <xdr:rowOff>43711</xdr:rowOff>
    </xdr:to>
    <xdr:pic>
      <xdr:nvPicPr>
        <xdr:cNvPr id="6" name="Picture 5">
          <a:extLst>
            <a:ext uri="{FF2B5EF4-FFF2-40B4-BE49-F238E27FC236}">
              <a16:creationId xmlns:a16="http://schemas.microsoft.com/office/drawing/2014/main" id="{4B61AA48-8866-4BE8-9E63-6A2D5172E661}"/>
            </a:ext>
          </a:extLst>
        </xdr:cNvPr>
        <xdr:cNvPicPr>
          <a:picLocks noChangeAspect="1"/>
        </xdr:cNvPicPr>
      </xdr:nvPicPr>
      <xdr:blipFill>
        <a:blip xmlns:r="http://schemas.openxmlformats.org/officeDocument/2006/relationships" r:embed="rId5"/>
        <a:stretch>
          <a:fillRect/>
        </a:stretch>
      </xdr:blipFill>
      <xdr:spPr>
        <a:xfrm>
          <a:off x="4716780" y="320040"/>
          <a:ext cx="2800000" cy="866671"/>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25DBF6-394E-42C2-818A-DC00BC9A5791}">
  <sheetPr codeName="Sheet1"/>
  <dimension ref="B1:R49"/>
  <sheetViews>
    <sheetView showGridLines="0" tabSelected="1" zoomScaleNormal="100" workbookViewId="0">
      <pane ySplit="4" topLeftCell="A5" activePane="bottomLeft" state="frozen"/>
      <selection pane="bottomLeft" activeCell="B3" sqref="B3:O4"/>
    </sheetView>
  </sheetViews>
  <sheetFormatPr defaultRowHeight="15" x14ac:dyDescent="0.25"/>
  <cols>
    <col min="1" max="1" width="2.7109375" customWidth="1"/>
    <col min="23" max="23" width="10" bestFit="1" customWidth="1"/>
  </cols>
  <sheetData>
    <row r="1" spans="2:18" x14ac:dyDescent="0.25">
      <c r="B1" s="1" t="s">
        <v>181</v>
      </c>
    </row>
    <row r="2" spans="2:18" ht="9" customHeight="1" x14ac:dyDescent="0.25"/>
    <row r="3" spans="2:18" ht="14.45" customHeight="1" x14ac:dyDescent="0.25">
      <c r="B3" s="130" t="s">
        <v>180</v>
      </c>
      <c r="C3" s="130"/>
      <c r="D3" s="130"/>
      <c r="E3" s="130"/>
      <c r="F3" s="130"/>
      <c r="G3" s="130"/>
      <c r="H3" s="130"/>
      <c r="I3" s="130"/>
      <c r="J3" s="130"/>
      <c r="K3" s="130"/>
      <c r="L3" s="130"/>
      <c r="M3" s="130"/>
      <c r="N3" s="130"/>
      <c r="O3" s="130"/>
      <c r="P3" s="2"/>
      <c r="Q3" s="2"/>
      <c r="R3" s="2"/>
    </row>
    <row r="4" spans="2:18" x14ac:dyDescent="0.25">
      <c r="B4" s="130"/>
      <c r="C4" s="130"/>
      <c r="D4" s="130"/>
      <c r="E4" s="130"/>
      <c r="F4" s="130"/>
      <c r="G4" s="130"/>
      <c r="H4" s="130"/>
      <c r="I4" s="130"/>
      <c r="J4" s="130"/>
      <c r="K4" s="130"/>
      <c r="L4" s="130"/>
      <c r="M4" s="130"/>
      <c r="N4" s="130"/>
      <c r="O4" s="130"/>
      <c r="P4" s="2"/>
      <c r="Q4" s="2"/>
      <c r="R4" s="2"/>
    </row>
    <row r="5" spans="2:18" x14ac:dyDescent="0.25">
      <c r="B5" s="3"/>
      <c r="C5" s="3"/>
      <c r="D5" s="3"/>
      <c r="E5" s="3"/>
      <c r="F5" s="3"/>
      <c r="G5" s="3"/>
      <c r="H5" s="3"/>
      <c r="I5" s="3"/>
      <c r="J5" s="3"/>
      <c r="K5" s="3"/>
      <c r="L5" s="3"/>
      <c r="M5" s="3"/>
      <c r="N5" s="3"/>
      <c r="O5" s="3"/>
      <c r="P5" s="3"/>
    </row>
    <row r="6" spans="2:18" x14ac:dyDescent="0.25">
      <c r="B6" s="1" t="s">
        <v>187</v>
      </c>
    </row>
    <row r="7" spans="2:18" ht="9" customHeight="1" x14ac:dyDescent="0.25">
      <c r="B7" s="1"/>
    </row>
    <row r="8" spans="2:18" ht="14.45" customHeight="1" x14ac:dyDescent="0.25">
      <c r="B8" s="129" t="s">
        <v>182</v>
      </c>
      <c r="C8" s="129"/>
      <c r="D8" s="129"/>
      <c r="E8" s="129"/>
      <c r="F8" s="129"/>
      <c r="G8" s="129"/>
      <c r="H8" s="129"/>
      <c r="I8" s="129"/>
      <c r="J8" s="129"/>
      <c r="K8" s="129"/>
      <c r="L8" s="129"/>
      <c r="M8" s="129"/>
      <c r="N8" s="129"/>
      <c r="O8" s="129"/>
      <c r="P8" s="4"/>
      <c r="Q8" s="4"/>
      <c r="R8" s="4"/>
    </row>
    <row r="9" spans="2:18" x14ac:dyDescent="0.25">
      <c r="B9" s="129"/>
      <c r="C9" s="129"/>
      <c r="D9" s="129"/>
      <c r="E9" s="129"/>
      <c r="F9" s="129"/>
      <c r="G9" s="129"/>
      <c r="H9" s="129"/>
      <c r="I9" s="129"/>
      <c r="J9" s="129"/>
      <c r="K9" s="129"/>
      <c r="L9" s="129"/>
      <c r="M9" s="129"/>
      <c r="N9" s="129"/>
      <c r="O9" s="129"/>
      <c r="P9" s="4"/>
      <c r="Q9" s="4"/>
      <c r="R9" s="4"/>
    </row>
    <row r="10" spans="2:18" x14ac:dyDescent="0.25">
      <c r="B10" s="129"/>
      <c r="C10" s="129"/>
      <c r="D10" s="129"/>
      <c r="E10" s="129"/>
      <c r="F10" s="129"/>
      <c r="G10" s="129"/>
      <c r="H10" s="129"/>
      <c r="I10" s="129"/>
      <c r="J10" s="129"/>
      <c r="K10" s="129"/>
      <c r="L10" s="129"/>
      <c r="M10" s="129"/>
      <c r="N10" s="129"/>
      <c r="O10" s="129"/>
      <c r="P10" s="4"/>
      <c r="Q10" s="4"/>
      <c r="R10" s="4"/>
    </row>
    <row r="11" spans="2:18" ht="9" customHeight="1" x14ac:dyDescent="0.25">
      <c r="B11" s="127"/>
      <c r="C11" s="127"/>
      <c r="D11" s="127"/>
      <c r="E11" s="127"/>
      <c r="F11" s="127"/>
      <c r="G11" s="127"/>
      <c r="H11" s="127"/>
      <c r="I11" s="127"/>
      <c r="J11" s="127"/>
      <c r="K11" s="127"/>
      <c r="L11" s="127"/>
      <c r="M11" s="127"/>
      <c r="N11" s="127"/>
      <c r="O11" s="127"/>
      <c r="P11" s="4"/>
      <c r="Q11" s="4"/>
      <c r="R11" s="4"/>
    </row>
    <row r="12" spans="2:18" x14ac:dyDescent="0.25">
      <c r="B12" s="129" t="s">
        <v>188</v>
      </c>
      <c r="C12" s="129"/>
      <c r="D12" s="129"/>
      <c r="E12" s="129"/>
      <c r="F12" s="129"/>
      <c r="G12" s="129"/>
      <c r="H12" s="129"/>
      <c r="I12" s="129"/>
      <c r="J12" s="129"/>
      <c r="K12" s="129"/>
      <c r="L12" s="129"/>
      <c r="M12" s="129"/>
      <c r="N12" s="129"/>
      <c r="O12" s="129"/>
      <c r="P12" s="4"/>
      <c r="Q12" s="4"/>
      <c r="R12" s="4"/>
    </row>
    <row r="13" spans="2:18" x14ac:dyDescent="0.25">
      <c r="B13" s="129"/>
      <c r="C13" s="129"/>
      <c r="D13" s="129"/>
      <c r="E13" s="129"/>
      <c r="F13" s="129"/>
      <c r="G13" s="129"/>
      <c r="H13" s="129"/>
      <c r="I13" s="129"/>
      <c r="J13" s="129"/>
      <c r="K13" s="129"/>
      <c r="L13" s="129"/>
      <c r="M13" s="129"/>
      <c r="N13" s="129"/>
      <c r="O13" s="129"/>
      <c r="P13" s="4"/>
      <c r="Q13" s="4"/>
      <c r="R13" s="4"/>
    </row>
    <row r="14" spans="2:18" x14ac:dyDescent="0.25">
      <c r="B14" s="129"/>
      <c r="C14" s="129"/>
      <c r="D14" s="129"/>
      <c r="E14" s="129"/>
      <c r="F14" s="129"/>
      <c r="G14" s="129"/>
      <c r="H14" s="129"/>
      <c r="I14" s="129"/>
      <c r="J14" s="129"/>
      <c r="K14" s="129"/>
      <c r="L14" s="129"/>
      <c r="M14" s="129"/>
      <c r="N14" s="129"/>
      <c r="O14" s="129"/>
      <c r="P14" s="4"/>
      <c r="Q14" s="4"/>
      <c r="R14" s="4"/>
    </row>
    <row r="15" spans="2:18" x14ac:dyDescent="0.25">
      <c r="B15" s="129"/>
      <c r="C15" s="129"/>
      <c r="D15" s="129"/>
      <c r="E15" s="129"/>
      <c r="F15" s="129"/>
      <c r="G15" s="129"/>
      <c r="H15" s="129"/>
      <c r="I15" s="129"/>
      <c r="J15" s="129"/>
      <c r="K15" s="129"/>
      <c r="L15" s="129"/>
      <c r="M15" s="129"/>
      <c r="N15" s="129"/>
      <c r="O15" s="129"/>
      <c r="P15" s="4"/>
      <c r="Q15" s="4"/>
      <c r="R15" s="4"/>
    </row>
    <row r="16" spans="2:18" x14ac:dyDescent="0.25">
      <c r="B16" s="129"/>
      <c r="C16" s="129"/>
      <c r="D16" s="129"/>
      <c r="E16" s="129"/>
      <c r="F16" s="129"/>
      <c r="G16" s="129"/>
      <c r="H16" s="129"/>
      <c r="I16" s="129"/>
      <c r="J16" s="129"/>
      <c r="K16" s="129"/>
      <c r="L16" s="129"/>
      <c r="M16" s="129"/>
      <c r="N16" s="129"/>
      <c r="O16" s="129"/>
      <c r="P16" s="4"/>
      <c r="Q16" s="4"/>
      <c r="R16" s="4"/>
    </row>
    <row r="17" spans="2:18" ht="9" customHeight="1" x14ac:dyDescent="0.25">
      <c r="B17" s="127"/>
      <c r="C17" s="127"/>
      <c r="D17" s="127"/>
      <c r="E17" s="127"/>
      <c r="F17" s="127"/>
      <c r="G17" s="127"/>
      <c r="H17" s="127"/>
      <c r="I17" s="127"/>
      <c r="J17" s="127"/>
      <c r="K17" s="127"/>
      <c r="L17" s="127"/>
      <c r="M17" s="127"/>
      <c r="N17" s="127"/>
      <c r="O17" s="127"/>
      <c r="P17" s="4"/>
      <c r="Q17" s="4"/>
      <c r="R17" s="4"/>
    </row>
    <row r="18" spans="2:18" x14ac:dyDescent="0.25">
      <c r="B18" s="129" t="s">
        <v>1</v>
      </c>
      <c r="C18" s="129"/>
      <c r="D18" s="129"/>
      <c r="E18" s="129"/>
      <c r="F18" s="129"/>
      <c r="G18" s="129"/>
      <c r="H18" s="129"/>
      <c r="I18" s="129"/>
      <c r="J18" s="129"/>
      <c r="K18" s="129"/>
      <c r="L18" s="129"/>
      <c r="M18" s="129"/>
      <c r="N18" s="129"/>
      <c r="O18" s="129"/>
      <c r="P18" s="4"/>
      <c r="Q18" s="4"/>
      <c r="R18" s="4"/>
    </row>
    <row r="19" spans="2:18" ht="9" customHeight="1" x14ac:dyDescent="0.25">
      <c r="B19" s="127"/>
      <c r="C19" s="127"/>
      <c r="D19" s="127"/>
      <c r="E19" s="127"/>
      <c r="F19" s="127"/>
      <c r="G19" s="127"/>
      <c r="H19" s="127"/>
      <c r="I19" s="127"/>
      <c r="J19" s="127"/>
      <c r="K19" s="127"/>
      <c r="L19" s="127"/>
      <c r="M19" s="127"/>
      <c r="N19" s="127"/>
      <c r="O19" s="127"/>
      <c r="P19" s="4"/>
      <c r="Q19" s="4"/>
      <c r="R19" s="4"/>
    </row>
    <row r="20" spans="2:18" x14ac:dyDescent="0.25">
      <c r="B20" s="133" t="s">
        <v>2</v>
      </c>
      <c r="C20" s="134"/>
      <c r="D20" s="134"/>
      <c r="E20" s="134"/>
      <c r="F20" s="134"/>
      <c r="G20" s="134"/>
      <c r="H20" s="134"/>
      <c r="I20" s="134"/>
      <c r="J20" s="134"/>
      <c r="K20" s="134"/>
      <c r="L20" s="134"/>
      <c r="M20" s="134"/>
      <c r="N20" s="134"/>
      <c r="O20" s="134"/>
      <c r="P20" s="4"/>
      <c r="Q20" s="4"/>
      <c r="R20" s="4"/>
    </row>
    <row r="21" spans="2:18" x14ac:dyDescent="0.25">
      <c r="B21" s="133" t="s">
        <v>3</v>
      </c>
      <c r="C21" s="134"/>
      <c r="D21" s="134"/>
      <c r="E21" s="134"/>
      <c r="F21" s="134"/>
      <c r="G21" s="134"/>
      <c r="H21" s="134"/>
      <c r="I21" s="134"/>
      <c r="J21" s="134"/>
      <c r="K21" s="134"/>
      <c r="L21" s="134"/>
      <c r="M21" s="134"/>
      <c r="N21" s="134"/>
      <c r="O21" s="134"/>
      <c r="P21" s="4"/>
      <c r="Q21" s="4"/>
      <c r="R21" s="4"/>
    </row>
    <row r="22" spans="2:18" ht="14.45" customHeight="1" x14ac:dyDescent="0.25">
      <c r="B22" s="131" t="s">
        <v>4</v>
      </c>
      <c r="C22" s="131"/>
      <c r="D22" s="131"/>
      <c r="E22" s="131"/>
      <c r="F22" s="131"/>
      <c r="G22" s="131"/>
      <c r="H22" s="131"/>
      <c r="I22" s="131"/>
      <c r="J22" s="131"/>
      <c r="K22" s="131"/>
      <c r="L22" s="131"/>
      <c r="M22" s="131"/>
      <c r="N22" s="131"/>
      <c r="O22" s="131"/>
      <c r="P22" s="4"/>
      <c r="Q22" s="4"/>
      <c r="R22" s="4"/>
    </row>
    <row r="23" spans="2:18" x14ac:dyDescent="0.25">
      <c r="B23" s="131"/>
      <c r="C23" s="131"/>
      <c r="D23" s="131"/>
      <c r="E23" s="131"/>
      <c r="F23" s="131"/>
      <c r="G23" s="131"/>
      <c r="H23" s="131"/>
      <c r="I23" s="131"/>
      <c r="J23" s="131"/>
      <c r="K23" s="131"/>
      <c r="L23" s="131"/>
      <c r="M23" s="131"/>
      <c r="N23" s="131"/>
      <c r="O23" s="131"/>
      <c r="P23" s="4"/>
      <c r="Q23" s="4"/>
      <c r="R23" s="4"/>
    </row>
    <row r="24" spans="2:18" x14ac:dyDescent="0.25">
      <c r="B24" s="132" t="s">
        <v>5</v>
      </c>
      <c r="C24" s="132"/>
      <c r="D24" s="132"/>
      <c r="E24" s="132"/>
      <c r="F24" s="132"/>
      <c r="G24" s="132"/>
      <c r="H24" s="132"/>
      <c r="I24" s="132"/>
      <c r="J24" s="132"/>
      <c r="K24" s="132"/>
      <c r="L24" s="132"/>
      <c r="M24" s="132"/>
      <c r="N24" s="132"/>
      <c r="O24" s="132"/>
      <c r="P24" s="4"/>
      <c r="Q24" s="4"/>
      <c r="R24" s="4"/>
    </row>
    <row r="25" spans="2:18" x14ac:dyDescent="0.25">
      <c r="B25" s="132" t="s">
        <v>6</v>
      </c>
      <c r="C25" s="132"/>
      <c r="D25" s="132"/>
      <c r="E25" s="132"/>
      <c r="F25" s="132"/>
      <c r="G25" s="132"/>
      <c r="H25" s="132"/>
      <c r="I25" s="132"/>
      <c r="J25" s="132"/>
      <c r="K25" s="132"/>
      <c r="L25" s="132"/>
      <c r="M25" s="132"/>
      <c r="N25" s="132"/>
      <c r="O25" s="132"/>
      <c r="P25" s="4"/>
      <c r="Q25" s="4"/>
      <c r="R25" s="4"/>
    </row>
    <row r="26" spans="2:18" x14ac:dyDescent="0.25">
      <c r="B26" s="132"/>
      <c r="C26" s="132"/>
      <c r="D26" s="132"/>
      <c r="E26" s="132"/>
      <c r="F26" s="132"/>
      <c r="G26" s="132"/>
      <c r="H26" s="132"/>
      <c r="I26" s="132"/>
      <c r="J26" s="132"/>
      <c r="K26" s="132"/>
      <c r="L26" s="132"/>
      <c r="M26" s="132"/>
      <c r="N26" s="132"/>
      <c r="O26" s="132"/>
      <c r="P26" s="4"/>
      <c r="Q26" s="4"/>
      <c r="R26" s="4"/>
    </row>
    <row r="27" spans="2:18" x14ac:dyDescent="0.25">
      <c r="B27" s="133" t="s">
        <v>7</v>
      </c>
      <c r="C27" s="134"/>
      <c r="D27" s="134"/>
      <c r="E27" s="134"/>
      <c r="F27" s="134"/>
      <c r="G27" s="134"/>
      <c r="H27" s="134"/>
      <c r="I27" s="134"/>
      <c r="J27" s="134"/>
      <c r="K27" s="134"/>
      <c r="L27" s="134"/>
      <c r="M27" s="134"/>
      <c r="N27" s="134"/>
      <c r="O27" s="134"/>
      <c r="P27" s="4"/>
      <c r="Q27" s="4"/>
      <c r="R27" s="4"/>
    </row>
    <row r="28" spans="2:18" x14ac:dyDescent="0.25">
      <c r="B28" s="134"/>
      <c r="C28" s="134"/>
      <c r="D28" s="134"/>
      <c r="E28" s="134"/>
      <c r="F28" s="134"/>
      <c r="G28" s="134"/>
      <c r="H28" s="134"/>
      <c r="I28" s="134"/>
      <c r="J28" s="134"/>
      <c r="K28" s="134"/>
      <c r="L28" s="134"/>
      <c r="M28" s="134"/>
      <c r="N28" s="134"/>
      <c r="O28" s="134"/>
      <c r="P28" s="4"/>
      <c r="Q28" s="4"/>
      <c r="R28" s="4"/>
    </row>
    <row r="29" spans="2:18" ht="14.45" customHeight="1" x14ac:dyDescent="0.25">
      <c r="B29" s="133" t="s">
        <v>8</v>
      </c>
      <c r="C29" s="133"/>
      <c r="D29" s="133"/>
      <c r="E29" s="133"/>
      <c r="F29" s="133"/>
      <c r="G29" s="133"/>
      <c r="H29" s="133"/>
      <c r="I29" s="133"/>
      <c r="J29" s="133"/>
      <c r="K29" s="133"/>
      <c r="L29" s="133"/>
      <c r="M29" s="133"/>
      <c r="N29" s="133"/>
      <c r="O29" s="133"/>
      <c r="P29" s="4"/>
      <c r="Q29" s="4"/>
      <c r="R29" s="4"/>
    </row>
    <row r="30" spans="2:18" x14ac:dyDescent="0.25">
      <c r="B30" s="133"/>
      <c r="C30" s="133"/>
      <c r="D30" s="133"/>
      <c r="E30" s="133"/>
      <c r="F30" s="133"/>
      <c r="G30" s="133"/>
      <c r="H30" s="133"/>
      <c r="I30" s="133"/>
      <c r="J30" s="133"/>
      <c r="K30" s="133"/>
      <c r="L30" s="133"/>
      <c r="M30" s="133"/>
      <c r="N30" s="133"/>
      <c r="O30" s="133"/>
      <c r="P30" s="4"/>
      <c r="Q30" s="4"/>
      <c r="R30" s="4"/>
    </row>
    <row r="31" spans="2:18" ht="9" customHeight="1" x14ac:dyDescent="0.25">
      <c r="B31" s="127"/>
      <c r="C31" s="127"/>
      <c r="D31" s="127"/>
      <c r="E31" s="127"/>
      <c r="F31" s="127"/>
      <c r="G31" s="127"/>
      <c r="H31" s="127"/>
      <c r="I31" s="127"/>
      <c r="J31" s="127"/>
      <c r="K31" s="127"/>
      <c r="L31" s="127"/>
      <c r="M31" s="127"/>
      <c r="N31" s="127"/>
      <c r="O31" s="127"/>
      <c r="P31" s="4"/>
      <c r="Q31" s="4"/>
      <c r="R31" s="4"/>
    </row>
    <row r="32" spans="2:18" x14ac:dyDescent="0.25">
      <c r="B32" s="129" t="s">
        <v>183</v>
      </c>
      <c r="C32" s="129"/>
      <c r="D32" s="129"/>
      <c r="E32" s="129"/>
      <c r="F32" s="129"/>
      <c r="G32" s="129"/>
      <c r="H32" s="129"/>
      <c r="I32" s="129"/>
      <c r="J32" s="129"/>
      <c r="K32" s="129"/>
      <c r="L32" s="129"/>
      <c r="M32" s="129"/>
      <c r="N32" s="129"/>
      <c r="O32" s="129"/>
      <c r="P32" s="4"/>
      <c r="Q32" s="4"/>
      <c r="R32" s="4"/>
    </row>
    <row r="33" spans="2:18" x14ac:dyDescent="0.25">
      <c r="B33" s="129"/>
      <c r="C33" s="129"/>
      <c r="D33" s="129"/>
      <c r="E33" s="129"/>
      <c r="F33" s="129"/>
      <c r="G33" s="129"/>
      <c r="H33" s="129"/>
      <c r="I33" s="129"/>
      <c r="J33" s="129"/>
      <c r="K33" s="129"/>
      <c r="L33" s="129"/>
      <c r="M33" s="129"/>
      <c r="N33" s="129"/>
      <c r="O33" s="129"/>
      <c r="P33" s="4"/>
      <c r="Q33" s="4"/>
      <c r="R33" s="4"/>
    </row>
    <row r="34" spans="2:18" x14ac:dyDescent="0.25">
      <c r="B34" s="129"/>
      <c r="C34" s="129"/>
      <c r="D34" s="129"/>
      <c r="E34" s="129"/>
      <c r="F34" s="129"/>
      <c r="G34" s="129"/>
      <c r="H34" s="129"/>
      <c r="I34" s="129"/>
      <c r="J34" s="129"/>
      <c r="K34" s="129"/>
      <c r="L34" s="129"/>
      <c r="M34" s="129"/>
      <c r="N34" s="129"/>
      <c r="O34" s="129"/>
      <c r="P34" s="4"/>
      <c r="Q34" s="4"/>
      <c r="R34" s="4"/>
    </row>
    <row r="35" spans="2:18" ht="9" customHeight="1" x14ac:dyDescent="0.25">
      <c r="B35" s="127"/>
      <c r="C35" s="127"/>
      <c r="D35" s="127"/>
      <c r="E35" s="127"/>
      <c r="F35" s="127"/>
      <c r="G35" s="127"/>
      <c r="H35" s="127"/>
      <c r="I35" s="127"/>
      <c r="J35" s="127"/>
      <c r="K35" s="127"/>
      <c r="L35" s="127"/>
      <c r="M35" s="127"/>
      <c r="N35" s="127"/>
      <c r="O35" s="127"/>
      <c r="P35" s="4"/>
      <c r="Q35" s="4"/>
      <c r="R35" s="4"/>
    </row>
    <row r="36" spans="2:18" ht="14.45" customHeight="1" x14ac:dyDescent="0.25">
      <c r="B36" s="129" t="s">
        <v>9</v>
      </c>
      <c r="C36" s="129"/>
      <c r="D36" s="129"/>
      <c r="E36" s="129"/>
      <c r="F36" s="129"/>
      <c r="G36" s="129"/>
      <c r="H36" s="129"/>
      <c r="I36" s="129"/>
      <c r="J36" s="129"/>
      <c r="K36" s="129"/>
      <c r="L36" s="129"/>
      <c r="M36" s="129"/>
      <c r="N36" s="129"/>
      <c r="O36" s="129"/>
      <c r="P36" s="4"/>
      <c r="Q36" s="4"/>
      <c r="R36" s="4"/>
    </row>
    <row r="37" spans="2:18" x14ac:dyDescent="0.25">
      <c r="B37" s="129"/>
      <c r="C37" s="129"/>
      <c r="D37" s="129"/>
      <c r="E37" s="129"/>
      <c r="F37" s="129"/>
      <c r="G37" s="129"/>
      <c r="H37" s="129"/>
      <c r="I37" s="129"/>
      <c r="J37" s="129"/>
      <c r="K37" s="129"/>
      <c r="L37" s="129"/>
      <c r="M37" s="129"/>
      <c r="N37" s="129"/>
      <c r="O37" s="129"/>
      <c r="P37" s="4"/>
      <c r="Q37" s="4"/>
      <c r="R37" s="4"/>
    </row>
    <row r="38" spans="2:18" x14ac:dyDescent="0.25">
      <c r="B38" s="129"/>
      <c r="C38" s="129"/>
      <c r="D38" s="129"/>
      <c r="E38" s="129"/>
      <c r="F38" s="129"/>
      <c r="G38" s="129"/>
      <c r="H38" s="129"/>
      <c r="I38" s="129"/>
      <c r="J38" s="129"/>
      <c r="K38" s="129"/>
      <c r="L38" s="129"/>
      <c r="M38" s="129"/>
      <c r="N38" s="129"/>
      <c r="O38" s="129"/>
      <c r="P38" s="4"/>
      <c r="Q38" s="4"/>
      <c r="R38" s="4"/>
    </row>
    <row r="39" spans="2:18" ht="9" customHeight="1" x14ac:dyDescent="0.25">
      <c r="B39" s="127"/>
      <c r="C39" s="127"/>
      <c r="D39" s="127"/>
      <c r="E39" s="127"/>
      <c r="F39" s="127"/>
      <c r="G39" s="127"/>
      <c r="H39" s="127"/>
      <c r="I39" s="127"/>
      <c r="J39" s="127"/>
      <c r="K39" s="127"/>
      <c r="L39" s="127"/>
      <c r="M39" s="127"/>
      <c r="N39" s="127"/>
      <c r="O39" s="127"/>
      <c r="P39" s="4"/>
      <c r="Q39" s="4"/>
      <c r="R39" s="4"/>
    </row>
    <row r="40" spans="2:18" x14ac:dyDescent="0.25">
      <c r="B40" s="129" t="s">
        <v>10</v>
      </c>
      <c r="C40" s="129"/>
      <c r="D40" s="129"/>
      <c r="E40" s="129"/>
      <c r="F40" s="129"/>
      <c r="G40" s="129"/>
      <c r="H40" s="129"/>
      <c r="I40" s="129"/>
      <c r="J40" s="129"/>
      <c r="K40" s="129"/>
      <c r="L40" s="129"/>
      <c r="M40" s="129"/>
      <c r="N40" s="129"/>
      <c r="O40" s="129"/>
      <c r="P40" s="4"/>
      <c r="Q40" s="4"/>
      <c r="R40" s="4"/>
    </row>
    <row r="41" spans="2:18" x14ac:dyDescent="0.25">
      <c r="B41" s="129"/>
      <c r="C41" s="129"/>
      <c r="D41" s="129"/>
      <c r="E41" s="129"/>
      <c r="F41" s="129"/>
      <c r="G41" s="129"/>
      <c r="H41" s="129"/>
      <c r="I41" s="129"/>
      <c r="J41" s="129"/>
      <c r="K41" s="129"/>
      <c r="L41" s="129"/>
      <c r="M41" s="129"/>
      <c r="N41" s="129"/>
      <c r="O41" s="129"/>
    </row>
    <row r="42" spans="2:18" ht="9" customHeight="1" x14ac:dyDescent="0.25">
      <c r="B42" s="127"/>
      <c r="C42" s="127"/>
      <c r="D42" s="127"/>
      <c r="E42" s="127"/>
      <c r="F42" s="127"/>
      <c r="G42" s="127"/>
      <c r="H42" s="127"/>
      <c r="I42" s="127"/>
      <c r="J42" s="127"/>
      <c r="K42" s="127"/>
      <c r="L42" s="127"/>
      <c r="M42" s="127"/>
      <c r="N42" s="127"/>
      <c r="O42" s="127"/>
    </row>
    <row r="43" spans="2:18" ht="15" customHeight="1" x14ac:dyDescent="0.25">
      <c r="B43" s="129" t="s">
        <v>11</v>
      </c>
      <c r="C43" s="129"/>
      <c r="D43" s="129"/>
      <c r="E43" s="129"/>
      <c r="F43" s="129"/>
      <c r="G43" s="129"/>
      <c r="H43" s="129"/>
      <c r="I43" s="129"/>
      <c r="J43" s="129"/>
      <c r="K43" s="129"/>
      <c r="L43" s="129"/>
      <c r="M43" s="129"/>
      <c r="N43" s="129"/>
      <c r="O43" s="129"/>
    </row>
    <row r="44" spans="2:18" x14ac:dyDescent="0.25">
      <c r="B44" s="129"/>
      <c r="C44" s="129"/>
      <c r="D44" s="129"/>
      <c r="E44" s="129"/>
      <c r="F44" s="129"/>
      <c r="G44" s="129"/>
      <c r="H44" s="129"/>
      <c r="I44" s="129"/>
      <c r="J44" s="129"/>
      <c r="K44" s="129"/>
      <c r="L44" s="129"/>
      <c r="M44" s="129"/>
      <c r="N44" s="129"/>
      <c r="O44" s="129"/>
    </row>
    <row r="45" spans="2:18" ht="9" customHeight="1" x14ac:dyDescent="0.25">
      <c r="B45" s="126"/>
      <c r="C45" s="126"/>
      <c r="D45" s="126"/>
      <c r="E45" s="126"/>
      <c r="F45" s="126"/>
      <c r="G45" s="126"/>
      <c r="H45" s="126"/>
      <c r="I45" s="126"/>
      <c r="J45" s="126"/>
      <c r="K45" s="126"/>
      <c r="L45" s="126"/>
      <c r="M45" s="126"/>
      <c r="N45" s="126"/>
      <c r="O45" s="126"/>
    </row>
    <row r="46" spans="2:18" x14ac:dyDescent="0.25">
      <c r="B46" s="130" t="s">
        <v>184</v>
      </c>
      <c r="C46" s="130"/>
      <c r="D46" s="130"/>
      <c r="E46" s="130"/>
      <c r="F46" s="130"/>
      <c r="G46" s="130"/>
      <c r="H46" s="130"/>
      <c r="I46" s="130"/>
      <c r="J46" s="130"/>
      <c r="K46" s="130"/>
      <c r="L46" s="130"/>
      <c r="M46" s="130"/>
      <c r="N46" s="130"/>
      <c r="O46" s="130"/>
    </row>
    <row r="47" spans="2:18" x14ac:dyDescent="0.25">
      <c r="B47" s="130"/>
      <c r="C47" s="130"/>
      <c r="D47" s="130"/>
      <c r="E47" s="130"/>
      <c r="F47" s="130"/>
      <c r="G47" s="130"/>
      <c r="H47" s="130"/>
      <c r="I47" s="130"/>
      <c r="J47" s="130"/>
      <c r="K47" s="130"/>
      <c r="L47" s="130"/>
      <c r="M47" s="130"/>
      <c r="N47" s="130"/>
      <c r="O47" s="130"/>
    </row>
    <row r="48" spans="2:18" ht="9" customHeight="1" x14ac:dyDescent="0.25"/>
    <row r="49" spans="2:2" x14ac:dyDescent="0.25">
      <c r="B49" t="s">
        <v>0</v>
      </c>
    </row>
  </sheetData>
  <mergeCells count="16">
    <mergeCell ref="B21:O21"/>
    <mergeCell ref="B3:O4"/>
    <mergeCell ref="B8:O10"/>
    <mergeCell ref="B12:O16"/>
    <mergeCell ref="B18:O18"/>
    <mergeCell ref="B20:O20"/>
    <mergeCell ref="B36:O38"/>
    <mergeCell ref="B40:O41"/>
    <mergeCell ref="B46:O47"/>
    <mergeCell ref="B22:O23"/>
    <mergeCell ref="B24:O24"/>
    <mergeCell ref="B25:O26"/>
    <mergeCell ref="B27:O28"/>
    <mergeCell ref="B29:O30"/>
    <mergeCell ref="B32:O34"/>
    <mergeCell ref="B43:O44"/>
  </mergeCells>
  <pageMargins left="0.47244094488188981" right="0.47244094488188981" top="0.47244094488188981" bottom="0.47244094488188981" header="0.31496062992125984" footer="0.31496062992125984"/>
  <pageSetup paperSize="9" scale="72"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38B74D-6A35-4F04-BA5A-A532022B2EF2}">
  <sheetPr codeName="Sheet2">
    <pageSetUpPr fitToPage="1"/>
  </sheetPr>
  <dimension ref="B1:L20"/>
  <sheetViews>
    <sheetView showGridLines="0" workbookViewId="0">
      <selection activeCell="B3" sqref="B3"/>
    </sheetView>
  </sheetViews>
  <sheetFormatPr defaultRowHeight="15" x14ac:dyDescent="0.25"/>
  <cols>
    <col min="1" max="1" width="3.42578125" customWidth="1"/>
    <col min="2" max="2" width="10.42578125" customWidth="1"/>
    <col min="3" max="6" width="11.28515625" customWidth="1"/>
    <col min="7" max="8" width="7.7109375" customWidth="1"/>
    <col min="9" max="10" width="9.7109375" customWidth="1"/>
    <col min="11" max="12" width="11.28515625" customWidth="1"/>
    <col min="13" max="13" width="11.7109375" customWidth="1"/>
    <col min="14" max="14" width="16.7109375" customWidth="1"/>
  </cols>
  <sheetData>
    <row r="1" spans="2:12" x14ac:dyDescent="0.25">
      <c r="B1" s="5" t="s">
        <v>185</v>
      </c>
    </row>
    <row r="2" spans="2:12" x14ac:dyDescent="0.25">
      <c r="B2" s="5" t="str">
        <f ca="1">"Date: "&amp;MONTH(TODAY())&amp;"/"&amp;DAY(TODAY())&amp;"/"&amp;YEAR(TODAY())</f>
        <v>Date: 6/17/2020</v>
      </c>
    </row>
    <row r="3" spans="2:12" ht="9" customHeight="1" x14ac:dyDescent="0.25">
      <c r="B3" s="5"/>
    </row>
    <row r="4" spans="2:12" x14ac:dyDescent="0.25">
      <c r="B4" s="1" t="s">
        <v>12</v>
      </c>
      <c r="C4" s="1"/>
    </row>
    <row r="5" spans="2:12" ht="14.45" customHeight="1" x14ac:dyDescent="0.25">
      <c r="B5" s="137" t="s">
        <v>13</v>
      </c>
      <c r="C5" s="141" t="s">
        <v>14</v>
      </c>
      <c r="D5" s="137" t="s">
        <v>15</v>
      </c>
      <c r="E5" s="137" t="s">
        <v>16</v>
      </c>
      <c r="F5" s="137" t="s">
        <v>17</v>
      </c>
      <c r="G5" s="137" t="s">
        <v>18</v>
      </c>
      <c r="H5" s="137" t="s">
        <v>19</v>
      </c>
      <c r="I5" s="6" t="s">
        <v>20</v>
      </c>
      <c r="J5" s="7"/>
      <c r="K5" s="7"/>
      <c r="L5" s="8"/>
    </row>
    <row r="6" spans="2:12" x14ac:dyDescent="0.25">
      <c r="B6" s="140"/>
      <c r="C6" s="141"/>
      <c r="D6" s="137"/>
      <c r="E6" s="137"/>
      <c r="F6" s="137"/>
      <c r="G6" s="137"/>
      <c r="H6" s="137"/>
      <c r="I6" s="9" t="s">
        <v>21</v>
      </c>
      <c r="J6" s="9" t="s">
        <v>22</v>
      </c>
      <c r="K6" s="9" t="s">
        <v>17</v>
      </c>
      <c r="L6" s="9" t="s">
        <v>23</v>
      </c>
    </row>
    <row r="7" spans="2:12" x14ac:dyDescent="0.25">
      <c r="B7" s="10" t="s">
        <v>24</v>
      </c>
      <c r="C7" s="138">
        <f ca="1">'Financial Pro Forma'!$V$12</f>
        <v>12500000</v>
      </c>
      <c r="D7" s="11">
        <f ca="1">'Financial Pro Forma'!$V$40+'Financial Pro Forma'!$V$54+'Financial Pro Forma'!$V$68-'Financial Pro Forma'!$V$58</f>
        <v>9200000</v>
      </c>
      <c r="E7" s="11">
        <f ca="1">$C$7-D7</f>
        <v>3300000</v>
      </c>
      <c r="F7" s="11">
        <f ca="1">-MIN('Financial Pro Forma'!$X$71:$BS$71)</f>
        <v>7460000</v>
      </c>
      <c r="G7" s="12">
        <f ca="1">IF(ROUND(E7/F7,3)&lt;&gt;ROUND('Financial Pro Forma'!$S$70,3),"Error",E7/F7)</f>
        <v>0.44235924932975873</v>
      </c>
      <c r="H7" s="13">
        <f ca="1">'Financial Pro Forma'!$U$70</f>
        <v>0.3460042278886617</v>
      </c>
      <c r="I7" s="14">
        <f t="array" aca="1" ref="I7" ca="1">INDEX(Monthly_Dates,,MATCH(TRUE,'Financial Pro Forma'!$X$70:$BS$70&lt;&gt;0,0))</f>
        <v>44228</v>
      </c>
      <c r="J7" s="15">
        <f ca="1">INDEX(Monthly_Dates,,MATCH('Financial Pro Forma'!$V$70,'Financial Pro Forma'!$X$71:$BS$71,0))</f>
        <v>45017</v>
      </c>
      <c r="K7" s="15">
        <f ca="1">INDEX(Monthly_Dates,,MATCH(-$F7,'Financial Pro Forma'!$X$71:$BS$71,0))</f>
        <v>44958</v>
      </c>
      <c r="L7" s="16">
        <f ca="1">INDEX(Monthly_Dates,,MATCH(0,'Financial Pro Forma'!$X$71:$BS$71,1)+1)</f>
        <v>44986</v>
      </c>
    </row>
    <row r="8" spans="2:12" x14ac:dyDescent="0.25">
      <c r="B8" s="10" t="s">
        <v>25</v>
      </c>
      <c r="C8" s="139"/>
      <c r="D8" s="17">
        <f ca="1">'Financial Pro Forma'!$V$40+'Financial Pro Forma'!$V$54+'Financial Pro Forma'!$V$68-'Financial Pro Forma'!$V$58+'Financial Pro Forma'!$V$93</f>
        <v>9758359.7554120831</v>
      </c>
      <c r="E8" s="17">
        <f ca="1">$C$7-D8</f>
        <v>2741640.2445879169</v>
      </c>
      <c r="F8" s="17">
        <f ca="1">-MIN('Financial Pro Forma'!$X$96:$BS$96)</f>
        <v>5497526.422078752</v>
      </c>
      <c r="G8" s="18">
        <f ca="1">IF(ROUND(E8/F8,3)&lt;&gt;ROUND('Financial Pro Forma'!$S$95,3),"Error",E8/F8)</f>
        <v>0.49870433247526519</v>
      </c>
      <c r="H8" s="19">
        <f ca="1">'Financial Pro Forma'!$U$95</f>
        <v>0.38840609464578568</v>
      </c>
      <c r="I8" s="20">
        <f t="array" aca="1" ref="I8" ca="1">INDEX(Monthly_Dates,,MATCH(TRUE,'Financial Pro Forma'!$X$95:$BS$95&lt;&gt;0,0))</f>
        <v>44228</v>
      </c>
      <c r="J8" s="21">
        <f ca="1">INDEX(Monthly_Dates,,MATCH('Financial Pro Forma'!$V$95,'Financial Pro Forma'!$X$96:$BS$96,0))</f>
        <v>45017</v>
      </c>
      <c r="K8" s="21">
        <f ca="1">INDEX(Monthly_Dates,,MATCH(-$F8,'Financial Pro Forma'!$X$96:$BS$96,0))</f>
        <v>44958</v>
      </c>
      <c r="L8" s="22">
        <f ca="1">INDEX(Monthly_Dates,,MATCH(0,'Financial Pro Forma'!$X$96:$BS$96,1)+1)</f>
        <v>44986</v>
      </c>
    </row>
    <row r="10" spans="2:12" x14ac:dyDescent="0.25">
      <c r="B10" s="1" t="s">
        <v>26</v>
      </c>
      <c r="C10" s="1"/>
    </row>
    <row r="11" spans="2:12" x14ac:dyDescent="0.25">
      <c r="B11" s="137" t="s">
        <v>13</v>
      </c>
      <c r="C11" s="141" t="s">
        <v>14</v>
      </c>
      <c r="D11" s="137" t="s">
        <v>15</v>
      </c>
      <c r="E11" s="137" t="s">
        <v>16</v>
      </c>
      <c r="F11" s="137" t="s">
        <v>17</v>
      </c>
      <c r="G11" s="137" t="s">
        <v>18</v>
      </c>
      <c r="H11" s="137" t="s">
        <v>19</v>
      </c>
      <c r="I11" s="6" t="s">
        <v>20</v>
      </c>
      <c r="J11" s="7"/>
      <c r="K11" s="7"/>
      <c r="L11" s="8"/>
    </row>
    <row r="12" spans="2:12" x14ac:dyDescent="0.25">
      <c r="B12" s="140"/>
      <c r="C12" s="141"/>
      <c r="D12" s="137"/>
      <c r="E12" s="137"/>
      <c r="F12" s="137"/>
      <c r="G12" s="137"/>
      <c r="H12" s="137"/>
      <c r="I12" s="9" t="s">
        <v>21</v>
      </c>
      <c r="J12" s="9" t="s">
        <v>22</v>
      </c>
      <c r="K12" s="9" t="s">
        <v>17</v>
      </c>
      <c r="L12" s="9" t="s">
        <v>23</v>
      </c>
    </row>
    <row r="13" spans="2:12" x14ac:dyDescent="0.25">
      <c r="B13" s="10" t="s">
        <v>24</v>
      </c>
      <c r="C13" s="135">
        <f ca="1">'Financial Pro Forma'!$V$12</f>
        <v>12500000</v>
      </c>
      <c r="D13" s="11">
        <f ca="1">'Financial Pro Forma'!$V$40+'Financial Pro Forma'!$V$54+'Financial Pro Forma'!$V$68-'Financial Pro Forma'!$V$58</f>
        <v>9200000</v>
      </c>
      <c r="E13" s="11">
        <f ca="1">$C$7-D13</f>
        <v>3300000</v>
      </c>
      <c r="F13" s="11">
        <f ca="1">-MIN('Financial Pro Forma'!$X$79:$BS$79)</f>
        <v>7710000.0001935624</v>
      </c>
      <c r="G13" s="12">
        <f ca="1">IF(ROUND(E13/F13,3)&lt;&gt;ROUND('Financial Pro Forma'!$S$78,3),"Error",E13/F13)</f>
        <v>0.42801556419158915</v>
      </c>
      <c r="H13" s="13">
        <f ca="1">'Financial Pro Forma'!$U$78</f>
        <v>0.24666337229270452</v>
      </c>
      <c r="I13" s="14">
        <f t="array" aca="1" ref="I13" ca="1">INDEX(Monthly_Dates,,MATCH(TRUE,'Financial Pro Forma'!$X$78:$BS$78&lt;&gt;0,0))</f>
        <v>44197</v>
      </c>
      <c r="J13" s="15">
        <f ca="1">INDEX(Monthly_Dates,,MATCH('Financial Pro Forma'!$V$78,'Financial Pro Forma'!$X$79:$BS$79,0))</f>
        <v>45017</v>
      </c>
      <c r="K13" s="15">
        <f ca="1">INDEX(Monthly_Dates,,MATCH(-$F13,'Financial Pro Forma'!$X$79:$BS$79,0))</f>
        <v>44927</v>
      </c>
      <c r="L13" s="16">
        <f ca="1">INDEX(Monthly_Dates,,MATCH(0,'Financial Pro Forma'!$X$79:$BS$79,1)+1)</f>
        <v>44986</v>
      </c>
    </row>
    <row r="14" spans="2:12" x14ac:dyDescent="0.25">
      <c r="B14" s="10" t="s">
        <v>25</v>
      </c>
      <c r="C14" s="136"/>
      <c r="D14" s="17">
        <f ca="1">'Financial Pro Forma'!$V$40+'Financial Pro Forma'!$V$54+'Financial Pro Forma'!$V$68-'Financial Pro Forma'!$V$58+'Financial Pro Forma'!$V$93</f>
        <v>9758359.7554120831</v>
      </c>
      <c r="E14" s="17">
        <f ca="1">$C$7-D14</f>
        <v>2741640.2445879169</v>
      </c>
      <c r="F14" s="17">
        <f ca="1">-MIN('Financial Pro Forma'!$X$104:$BS$104)</f>
        <v>5747526.4219679981</v>
      </c>
      <c r="G14" s="18">
        <f ca="1">IF(ROUND(E14/F14,3)&lt;&gt;ROUND('Financial Pro Forma'!$S$103,3),"Error",E14/F14)</f>
        <v>0.47701220373844888</v>
      </c>
      <c r="H14" s="19">
        <f ca="1">'Financial Pro Forma'!$U$103</f>
        <v>0.26110777139735419</v>
      </c>
      <c r="I14" s="20">
        <f t="array" aca="1" ref="I14" ca="1">INDEX(Monthly_Dates,,MATCH(TRUE,'Financial Pro Forma'!$X$103:$BS$103&lt;&gt;0,0))</f>
        <v>44197</v>
      </c>
      <c r="J14" s="21">
        <f ca="1">INDEX(Monthly_Dates,,MATCH('Financial Pro Forma'!$V$103,'Financial Pro Forma'!$X$104:$BS$104,0))</f>
        <v>45017</v>
      </c>
      <c r="K14" s="21">
        <f ca="1">INDEX(Monthly_Dates,,MATCH(-$F14,'Financial Pro Forma'!$X$104:$BS$104,0))</f>
        <v>44927</v>
      </c>
      <c r="L14" s="22">
        <f ca="1">INDEX(Monthly_Dates,,MATCH(0,'Financial Pro Forma'!$X$104:$BS$104,1)+1)</f>
        <v>44986</v>
      </c>
    </row>
    <row r="18" spans="2:2" x14ac:dyDescent="0.25">
      <c r="B18" t="s">
        <v>27</v>
      </c>
    </row>
    <row r="20" spans="2:2" x14ac:dyDescent="0.25">
      <c r="B20" t="s">
        <v>0</v>
      </c>
    </row>
  </sheetData>
  <mergeCells count="16">
    <mergeCell ref="C13:C14"/>
    <mergeCell ref="H5:H6"/>
    <mergeCell ref="C7:C8"/>
    <mergeCell ref="B11:B12"/>
    <mergeCell ref="C11:C12"/>
    <mergeCell ref="D11:D12"/>
    <mergeCell ref="E11:E12"/>
    <mergeCell ref="F11:F12"/>
    <mergeCell ref="G11:G12"/>
    <mergeCell ref="H11:H12"/>
    <mergeCell ref="B5:B6"/>
    <mergeCell ref="C5:C6"/>
    <mergeCell ref="D5:D6"/>
    <mergeCell ref="E5:E6"/>
    <mergeCell ref="F5:F6"/>
    <mergeCell ref="G5:G6"/>
  </mergeCells>
  <pageMargins left="0.7" right="0.7" top="0.75" bottom="0.75" header="0.3" footer="0.3"/>
  <pageSetup paperSize="9" scale="77" fitToHeight="0" orientation="portrait" horizontalDpi="0" verticalDpi="0"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31A17-462A-4E2B-ACEC-A78E1820F2BA}">
  <sheetPr codeName="Sheet3">
    <pageSetUpPr fitToPage="1"/>
  </sheetPr>
  <dimension ref="A1:BS114"/>
  <sheetViews>
    <sheetView showGridLines="0" zoomScale="90" zoomScaleNormal="90" workbookViewId="0">
      <pane xSplit="9" ySplit="4" topLeftCell="P5" activePane="bottomRight" state="frozen"/>
      <selection activeCell="F1" sqref="F1"/>
      <selection pane="topRight" activeCell="J1" sqref="J1"/>
      <selection pane="bottomLeft" activeCell="F5" sqref="F5"/>
      <selection pane="bottomRight" activeCell="G3" sqref="G3"/>
    </sheetView>
  </sheetViews>
  <sheetFormatPr defaultColWidth="8.85546875" defaultRowHeight="12.75" outlineLevelCol="1" x14ac:dyDescent="0.2"/>
  <cols>
    <col min="1" max="1" width="3.7109375" style="36" hidden="1" customWidth="1"/>
    <col min="2" max="2" width="6.7109375" style="37" hidden="1" customWidth="1" outlineLevel="1"/>
    <col min="3" max="3" width="4.5703125" style="37" hidden="1" customWidth="1" outlineLevel="1"/>
    <col min="4" max="4" width="3.7109375" style="37" hidden="1" customWidth="1" outlineLevel="1"/>
    <col min="5" max="5" width="5.7109375" style="37" hidden="1" customWidth="1" outlineLevel="1"/>
    <col min="6" max="6" width="2.7109375" style="37" customWidth="1" collapsed="1"/>
    <col min="7" max="8" width="8.85546875" style="37"/>
    <col min="9" max="9" width="16.7109375" style="39" customWidth="1"/>
    <col min="10" max="13" width="9.7109375" style="37" hidden="1" customWidth="1" outlineLevel="1"/>
    <col min="14" max="14" width="12.85546875" style="37" hidden="1" customWidth="1" outlineLevel="1"/>
    <col min="15" max="15" width="9.7109375" style="37" hidden="1" customWidth="1" outlineLevel="1"/>
    <col min="16" max="16" width="10.5703125" style="37" customWidth="1" collapsed="1"/>
    <col min="17" max="17" width="9.7109375" style="37" customWidth="1"/>
    <col min="18" max="18" width="10" style="37" customWidth="1"/>
    <col min="19" max="19" width="9.7109375" style="37" customWidth="1"/>
    <col min="20" max="20" width="10.85546875" style="37" customWidth="1"/>
    <col min="21" max="21" width="11" style="37" customWidth="1"/>
    <col min="22" max="22" width="11.28515625" style="37" customWidth="1"/>
    <col min="23" max="23" width="2.7109375" style="37" hidden="1" customWidth="1" outlineLevel="1"/>
    <col min="24" max="24" width="10.7109375" style="37" customWidth="1" collapsed="1"/>
    <col min="25" max="71" width="10.7109375" style="37" customWidth="1"/>
    <col min="72" max="16384" width="8.85546875" style="37"/>
  </cols>
  <sheetData>
    <row r="1" spans="1:71" s="23" customFormat="1" ht="14.65" customHeight="1" x14ac:dyDescent="0.25">
      <c r="A1" s="144" t="s">
        <v>28</v>
      </c>
      <c r="B1" s="146" t="s">
        <v>29</v>
      </c>
      <c r="C1" s="149" t="s">
        <v>30</v>
      </c>
      <c r="D1" s="151" t="s">
        <v>31</v>
      </c>
      <c r="E1" s="151" t="s">
        <v>32</v>
      </c>
      <c r="G1" s="5" t="s">
        <v>186</v>
      </c>
      <c r="H1" s="24"/>
      <c r="I1" s="24"/>
      <c r="J1" s="24"/>
      <c r="K1" s="24"/>
      <c r="L1" s="24"/>
      <c r="M1" s="24"/>
      <c r="N1" s="24"/>
      <c r="O1" s="24"/>
      <c r="P1" s="24"/>
      <c r="Q1" s="24"/>
      <c r="R1" s="24"/>
      <c r="S1" s="24"/>
      <c r="T1" s="24"/>
      <c r="U1" s="24"/>
      <c r="V1" s="24"/>
    </row>
    <row r="2" spans="1:71" s="23" customFormat="1" ht="14.65" customHeight="1" x14ac:dyDescent="0.25">
      <c r="A2" s="144"/>
      <c r="B2" s="147"/>
      <c r="C2" s="149"/>
      <c r="D2" s="149"/>
      <c r="E2" s="149"/>
      <c r="G2" s="5" t="str">
        <f ca="1">"Date: "&amp;MONTH(TODAY())&amp;"/"&amp;DAY(TODAY())&amp;"/"&amp;YEAR(TODAY())</f>
        <v>Date: 6/17/2020</v>
      </c>
      <c r="H2" s="24"/>
      <c r="I2" s="24"/>
      <c r="J2" s="24"/>
      <c r="K2" s="24"/>
      <c r="L2" s="24"/>
      <c r="M2" s="24"/>
      <c r="N2" s="24"/>
      <c r="O2" s="24"/>
      <c r="P2" s="24"/>
      <c r="Q2" s="24"/>
      <c r="R2" s="24"/>
      <c r="S2" s="24"/>
      <c r="T2" s="24"/>
      <c r="U2" s="24"/>
      <c r="V2" s="24"/>
    </row>
    <row r="3" spans="1:71" s="23" customFormat="1" ht="14.65" customHeight="1" x14ac:dyDescent="0.25">
      <c r="A3" s="144"/>
      <c r="B3" s="147"/>
      <c r="C3" s="149"/>
      <c r="D3" s="149"/>
      <c r="E3" s="149"/>
      <c r="F3" s="25"/>
      <c r="G3" s="24"/>
      <c r="H3" s="24"/>
      <c r="I3" s="24"/>
      <c r="J3" s="24"/>
      <c r="K3" s="24"/>
      <c r="L3" s="24"/>
      <c r="M3" s="24"/>
      <c r="N3" s="24"/>
      <c r="O3" s="24"/>
      <c r="P3" s="24"/>
      <c r="Q3" s="24"/>
      <c r="R3" s="24"/>
      <c r="S3" s="24"/>
      <c r="T3" s="24"/>
      <c r="U3" s="24"/>
      <c r="V3" s="24"/>
      <c r="X3" s="26" t="s">
        <v>33</v>
      </c>
    </row>
    <row r="4" spans="1:71" s="35" customFormat="1" ht="14.65" customHeight="1" x14ac:dyDescent="0.2">
      <c r="A4" s="145"/>
      <c r="B4" s="148"/>
      <c r="C4" s="150"/>
      <c r="D4" s="150"/>
      <c r="E4" s="150"/>
      <c r="F4" s="27"/>
      <c r="G4" s="28" t="s">
        <v>34</v>
      </c>
      <c r="H4" s="29"/>
      <c r="I4" s="30"/>
      <c r="J4" s="142" t="s">
        <v>35</v>
      </c>
      <c r="K4" s="142"/>
      <c r="L4" s="142"/>
      <c r="M4" s="142"/>
      <c r="N4" s="142"/>
      <c r="O4" s="143"/>
      <c r="P4" s="142" t="s">
        <v>35</v>
      </c>
      <c r="Q4" s="142"/>
      <c r="R4" s="142"/>
      <c r="S4" s="142"/>
      <c r="T4" s="142"/>
      <c r="U4" s="143"/>
      <c r="V4" s="31" t="s">
        <v>36</v>
      </c>
      <c r="W4" s="32"/>
      <c r="X4" s="33">
        <v>44197</v>
      </c>
      <c r="Y4" s="34">
        <f>EDATE(X4,1)</f>
        <v>44228</v>
      </c>
      <c r="Z4" s="34">
        <f t="shared" ref="Z4:BS4" si="0">EDATE(Y4,1)</f>
        <v>44256</v>
      </c>
      <c r="AA4" s="34">
        <f t="shared" si="0"/>
        <v>44287</v>
      </c>
      <c r="AB4" s="34">
        <f t="shared" si="0"/>
        <v>44317</v>
      </c>
      <c r="AC4" s="34">
        <f t="shared" si="0"/>
        <v>44348</v>
      </c>
      <c r="AD4" s="34">
        <f t="shared" si="0"/>
        <v>44378</v>
      </c>
      <c r="AE4" s="34">
        <f t="shared" si="0"/>
        <v>44409</v>
      </c>
      <c r="AF4" s="34">
        <f t="shared" si="0"/>
        <v>44440</v>
      </c>
      <c r="AG4" s="34">
        <f t="shared" si="0"/>
        <v>44470</v>
      </c>
      <c r="AH4" s="34">
        <f t="shared" si="0"/>
        <v>44501</v>
      </c>
      <c r="AI4" s="34">
        <f t="shared" si="0"/>
        <v>44531</v>
      </c>
      <c r="AJ4" s="34">
        <f t="shared" si="0"/>
        <v>44562</v>
      </c>
      <c r="AK4" s="34">
        <f t="shared" si="0"/>
        <v>44593</v>
      </c>
      <c r="AL4" s="34">
        <f t="shared" si="0"/>
        <v>44621</v>
      </c>
      <c r="AM4" s="34">
        <f t="shared" si="0"/>
        <v>44652</v>
      </c>
      <c r="AN4" s="34">
        <f t="shared" si="0"/>
        <v>44682</v>
      </c>
      <c r="AO4" s="34">
        <f t="shared" si="0"/>
        <v>44713</v>
      </c>
      <c r="AP4" s="34">
        <f t="shared" si="0"/>
        <v>44743</v>
      </c>
      <c r="AQ4" s="34">
        <f t="shared" si="0"/>
        <v>44774</v>
      </c>
      <c r="AR4" s="34">
        <f t="shared" si="0"/>
        <v>44805</v>
      </c>
      <c r="AS4" s="34">
        <f t="shared" si="0"/>
        <v>44835</v>
      </c>
      <c r="AT4" s="34">
        <f t="shared" si="0"/>
        <v>44866</v>
      </c>
      <c r="AU4" s="34">
        <f t="shared" si="0"/>
        <v>44896</v>
      </c>
      <c r="AV4" s="34">
        <f t="shared" si="0"/>
        <v>44927</v>
      </c>
      <c r="AW4" s="34">
        <f t="shared" si="0"/>
        <v>44958</v>
      </c>
      <c r="AX4" s="34">
        <f t="shared" si="0"/>
        <v>44986</v>
      </c>
      <c r="AY4" s="34">
        <f t="shared" si="0"/>
        <v>45017</v>
      </c>
      <c r="AZ4" s="34">
        <f t="shared" si="0"/>
        <v>45047</v>
      </c>
      <c r="BA4" s="34">
        <f t="shared" si="0"/>
        <v>45078</v>
      </c>
      <c r="BB4" s="34">
        <f t="shared" si="0"/>
        <v>45108</v>
      </c>
      <c r="BC4" s="34">
        <f t="shared" si="0"/>
        <v>45139</v>
      </c>
      <c r="BD4" s="34">
        <f t="shared" si="0"/>
        <v>45170</v>
      </c>
      <c r="BE4" s="34">
        <f t="shared" si="0"/>
        <v>45200</v>
      </c>
      <c r="BF4" s="34">
        <f t="shared" si="0"/>
        <v>45231</v>
      </c>
      <c r="BG4" s="34">
        <f t="shared" si="0"/>
        <v>45261</v>
      </c>
      <c r="BH4" s="34">
        <f t="shared" si="0"/>
        <v>45292</v>
      </c>
      <c r="BI4" s="34">
        <f t="shared" si="0"/>
        <v>45323</v>
      </c>
      <c r="BJ4" s="34">
        <f t="shared" si="0"/>
        <v>45352</v>
      </c>
      <c r="BK4" s="34">
        <f t="shared" si="0"/>
        <v>45383</v>
      </c>
      <c r="BL4" s="34">
        <f t="shared" si="0"/>
        <v>45413</v>
      </c>
      <c r="BM4" s="34">
        <f t="shared" si="0"/>
        <v>45444</v>
      </c>
      <c r="BN4" s="34">
        <f t="shared" si="0"/>
        <v>45474</v>
      </c>
      <c r="BO4" s="34">
        <f t="shared" si="0"/>
        <v>45505</v>
      </c>
      <c r="BP4" s="34">
        <f t="shared" si="0"/>
        <v>45536</v>
      </c>
      <c r="BQ4" s="34">
        <f t="shared" si="0"/>
        <v>45566</v>
      </c>
      <c r="BR4" s="34">
        <f t="shared" si="0"/>
        <v>45597</v>
      </c>
      <c r="BS4" s="34">
        <f t="shared" si="0"/>
        <v>45627</v>
      </c>
    </row>
    <row r="5" spans="1:71" x14ac:dyDescent="0.2">
      <c r="E5" s="36"/>
      <c r="F5" s="36"/>
      <c r="G5" s="38"/>
      <c r="P5" s="40"/>
      <c r="Q5" s="40"/>
      <c r="R5" s="41"/>
      <c r="S5" s="41"/>
      <c r="T5" s="41"/>
      <c r="U5" s="41"/>
      <c r="V5" s="42"/>
      <c r="W5" s="43"/>
      <c r="X5" s="44"/>
      <c r="Y5" s="45"/>
      <c r="Z5" s="45"/>
      <c r="AA5" s="45"/>
      <c r="AB5" s="45"/>
      <c r="AC5" s="45"/>
      <c r="AD5" s="45"/>
      <c r="AE5" s="45"/>
      <c r="AF5" s="45"/>
      <c r="AG5" s="45"/>
      <c r="AH5" s="45"/>
      <c r="AI5" s="45"/>
      <c r="AJ5" s="45"/>
      <c r="AK5" s="45"/>
      <c r="AL5" s="45"/>
      <c r="AM5" s="45"/>
      <c r="AN5" s="45"/>
      <c r="AO5" s="45"/>
      <c r="AP5" s="45"/>
      <c r="AQ5" s="45"/>
      <c r="AR5" s="45"/>
      <c r="AS5" s="45"/>
      <c r="AT5" s="45"/>
      <c r="AU5" s="45"/>
      <c r="AV5" s="45"/>
      <c r="AW5" s="45"/>
      <c r="AX5" s="45"/>
      <c r="AY5" s="45"/>
      <c r="AZ5" s="45"/>
      <c r="BA5" s="45"/>
      <c r="BB5" s="45"/>
      <c r="BC5" s="45"/>
      <c r="BD5" s="45"/>
      <c r="BE5" s="45"/>
      <c r="BF5" s="45"/>
      <c r="BG5" s="45"/>
      <c r="BH5" s="45"/>
      <c r="BI5" s="45"/>
      <c r="BJ5" s="45"/>
      <c r="BK5" s="45"/>
      <c r="BL5" s="45"/>
      <c r="BM5" s="45"/>
      <c r="BN5" s="45"/>
      <c r="BO5" s="45"/>
      <c r="BP5" s="45"/>
      <c r="BQ5" s="45"/>
      <c r="BR5" s="45"/>
      <c r="BS5" s="45"/>
    </row>
    <row r="6" spans="1:71" x14ac:dyDescent="0.2">
      <c r="A6" s="36" t="s">
        <v>37</v>
      </c>
      <c r="E6" s="36"/>
      <c r="F6" s="36"/>
      <c r="G6" s="38" t="s">
        <v>38</v>
      </c>
      <c r="V6" s="46"/>
      <c r="W6" s="36"/>
      <c r="X6" s="44"/>
      <c r="Y6" s="45"/>
      <c r="Z6" s="45"/>
      <c r="AA6" s="45"/>
      <c r="AB6" s="45"/>
      <c r="AC6" s="45"/>
      <c r="AD6" s="45"/>
      <c r="AE6" s="45"/>
      <c r="AF6" s="45"/>
      <c r="AG6" s="45"/>
      <c r="AH6" s="45"/>
      <c r="AI6" s="45"/>
      <c r="AJ6" s="45"/>
      <c r="AK6" s="45"/>
      <c r="AL6" s="45"/>
      <c r="AM6" s="45"/>
      <c r="AN6" s="45"/>
      <c r="AO6" s="45"/>
      <c r="AP6" s="45"/>
      <c r="AQ6" s="45"/>
      <c r="AR6" s="45"/>
      <c r="AS6" s="45"/>
      <c r="AT6" s="45"/>
      <c r="AU6" s="45"/>
      <c r="AV6" s="45"/>
      <c r="AW6" s="45"/>
      <c r="AX6" s="45"/>
      <c r="AY6" s="45"/>
      <c r="AZ6" s="45"/>
      <c r="BA6" s="45"/>
      <c r="BB6" s="45"/>
      <c r="BC6" s="45"/>
      <c r="BD6" s="45"/>
      <c r="BE6" s="45"/>
      <c r="BF6" s="45"/>
      <c r="BG6" s="45"/>
      <c r="BH6" s="45"/>
      <c r="BI6" s="45"/>
      <c r="BJ6" s="45"/>
      <c r="BK6" s="45"/>
      <c r="BL6" s="45"/>
      <c r="BM6" s="45"/>
      <c r="BN6" s="45"/>
      <c r="BO6" s="45"/>
      <c r="BP6" s="45"/>
      <c r="BQ6" s="45"/>
      <c r="BR6" s="45"/>
      <c r="BS6" s="45"/>
    </row>
    <row r="7" spans="1:71" x14ac:dyDescent="0.2">
      <c r="C7" s="36"/>
      <c r="D7" s="36"/>
      <c r="E7" s="36"/>
      <c r="F7" s="36"/>
      <c r="V7" s="46"/>
      <c r="W7" s="36"/>
      <c r="X7" s="44"/>
      <c r="Y7" s="45"/>
      <c r="Z7" s="45"/>
      <c r="AA7" s="45"/>
      <c r="AB7" s="45"/>
      <c r="AC7" s="45"/>
      <c r="AD7" s="45"/>
      <c r="AE7" s="45"/>
      <c r="AF7" s="45"/>
      <c r="AG7" s="45"/>
      <c r="AH7" s="45"/>
      <c r="AI7" s="45"/>
      <c r="AJ7" s="45"/>
      <c r="AK7" s="45"/>
      <c r="AL7" s="45"/>
      <c r="AM7" s="45"/>
      <c r="AN7" s="45"/>
      <c r="AO7" s="45"/>
      <c r="AP7" s="45"/>
      <c r="AQ7" s="45"/>
      <c r="AR7" s="45"/>
      <c r="AS7" s="45"/>
      <c r="AT7" s="45"/>
      <c r="AU7" s="45"/>
      <c r="AV7" s="45"/>
      <c r="AW7" s="45"/>
      <c r="AX7" s="45"/>
      <c r="AY7" s="45"/>
      <c r="AZ7" s="45"/>
      <c r="BA7" s="45"/>
      <c r="BB7" s="45"/>
      <c r="BC7" s="45"/>
      <c r="BD7" s="45"/>
      <c r="BE7" s="45"/>
      <c r="BF7" s="45"/>
      <c r="BG7" s="45"/>
      <c r="BH7" s="45"/>
      <c r="BI7" s="45"/>
      <c r="BJ7" s="45"/>
      <c r="BK7" s="45"/>
      <c r="BL7" s="45"/>
      <c r="BM7" s="45"/>
      <c r="BN7" s="45"/>
      <c r="BO7" s="45"/>
      <c r="BP7" s="45"/>
      <c r="BQ7" s="45"/>
      <c r="BR7" s="45"/>
      <c r="BS7" s="45"/>
    </row>
    <row r="8" spans="1:71" x14ac:dyDescent="0.2">
      <c r="A8" s="36" t="s">
        <v>39</v>
      </c>
      <c r="C8" s="36"/>
      <c r="D8" s="36"/>
      <c r="E8" s="36"/>
      <c r="F8" s="36"/>
      <c r="G8" s="38" t="s">
        <v>40</v>
      </c>
      <c r="V8" s="46"/>
      <c r="W8" s="36"/>
      <c r="X8" s="44"/>
      <c r="Y8" s="45"/>
      <c r="Z8" s="45"/>
      <c r="AA8" s="45"/>
      <c r="AB8" s="45"/>
      <c r="AC8" s="45"/>
      <c r="AD8" s="45"/>
      <c r="AE8" s="45"/>
      <c r="AF8" s="45"/>
      <c r="AG8" s="45"/>
      <c r="AH8" s="45"/>
      <c r="AI8" s="45"/>
      <c r="AJ8" s="45"/>
      <c r="AK8" s="45"/>
      <c r="AL8" s="45"/>
      <c r="AM8" s="45"/>
      <c r="AN8" s="45"/>
      <c r="AO8" s="45"/>
      <c r="AP8" s="45"/>
      <c r="AQ8" s="45"/>
      <c r="AR8" s="45"/>
      <c r="AS8" s="45"/>
      <c r="AT8" s="45"/>
      <c r="AU8" s="45"/>
      <c r="AV8" s="45"/>
      <c r="AW8" s="45"/>
      <c r="AX8" s="45"/>
      <c r="AY8" s="45"/>
      <c r="AZ8" s="45"/>
      <c r="BA8" s="45"/>
      <c r="BB8" s="45"/>
      <c r="BC8" s="45"/>
      <c r="BD8" s="45"/>
      <c r="BE8" s="45"/>
      <c r="BF8" s="45"/>
      <c r="BG8" s="45"/>
      <c r="BH8" s="45"/>
      <c r="BI8" s="45"/>
      <c r="BJ8" s="45"/>
      <c r="BK8" s="45"/>
      <c r="BL8" s="45"/>
      <c r="BM8" s="45"/>
      <c r="BN8" s="45"/>
      <c r="BO8" s="45"/>
      <c r="BP8" s="45"/>
      <c r="BQ8" s="45"/>
      <c r="BR8" s="45"/>
      <c r="BS8" s="45"/>
    </row>
    <row r="9" spans="1:71" s="35" customFormat="1" x14ac:dyDescent="0.2">
      <c r="A9" s="47" t="s">
        <v>41</v>
      </c>
      <c r="B9" s="35" t="s">
        <v>42</v>
      </c>
      <c r="C9" s="48">
        <v>0.19</v>
      </c>
      <c r="D9" s="49"/>
      <c r="G9" s="35" t="s">
        <v>40</v>
      </c>
      <c r="I9" s="50"/>
      <c r="M9" s="51" t="s">
        <v>43</v>
      </c>
      <c r="N9" s="52"/>
      <c r="O9" s="53"/>
      <c r="P9" s="51" t="s">
        <v>43</v>
      </c>
      <c r="Q9" s="52">
        <v>2500000</v>
      </c>
      <c r="R9" s="53">
        <f>EDATE(U9,-12)</f>
        <v>44621</v>
      </c>
      <c r="S9" s="51" t="s">
        <v>44</v>
      </c>
      <c r="T9" s="52">
        <f>12500000-Q9</f>
        <v>10000000</v>
      </c>
      <c r="U9" s="53">
        <f>EDATE($S$37,1)</f>
        <v>44986</v>
      </c>
      <c r="V9" s="54">
        <f>SUM(X9:BS9)</f>
        <v>12500000</v>
      </c>
      <c r="W9" s="47"/>
      <c r="X9" s="55">
        <f t="shared" ref="X9:BS9" si="1">IF($U9=X$4,$T9,0)+IF($R9=X$4,$Q9,0)+IF($O9=X$4,$N9,0)</f>
        <v>0</v>
      </c>
      <c r="Y9" s="55">
        <f t="shared" si="1"/>
        <v>0</v>
      </c>
      <c r="Z9" s="55">
        <f t="shared" si="1"/>
        <v>0</v>
      </c>
      <c r="AA9" s="55">
        <f t="shared" si="1"/>
        <v>0</v>
      </c>
      <c r="AB9" s="55">
        <f t="shared" si="1"/>
        <v>0</v>
      </c>
      <c r="AC9" s="55">
        <f t="shared" si="1"/>
        <v>0</v>
      </c>
      <c r="AD9" s="55">
        <f t="shared" si="1"/>
        <v>0</v>
      </c>
      <c r="AE9" s="55">
        <f t="shared" si="1"/>
        <v>0</v>
      </c>
      <c r="AF9" s="55">
        <f t="shared" si="1"/>
        <v>0</v>
      </c>
      <c r="AG9" s="55">
        <f t="shared" si="1"/>
        <v>0</v>
      </c>
      <c r="AH9" s="55">
        <f t="shared" si="1"/>
        <v>0</v>
      </c>
      <c r="AI9" s="55">
        <f t="shared" si="1"/>
        <v>0</v>
      </c>
      <c r="AJ9" s="55">
        <f t="shared" si="1"/>
        <v>0</v>
      </c>
      <c r="AK9" s="55">
        <f t="shared" si="1"/>
        <v>0</v>
      </c>
      <c r="AL9" s="55">
        <f t="shared" si="1"/>
        <v>2500000</v>
      </c>
      <c r="AM9" s="55">
        <f t="shared" si="1"/>
        <v>0</v>
      </c>
      <c r="AN9" s="55">
        <f t="shared" si="1"/>
        <v>0</v>
      </c>
      <c r="AO9" s="55">
        <f t="shared" si="1"/>
        <v>0</v>
      </c>
      <c r="AP9" s="55">
        <f t="shared" si="1"/>
        <v>0</v>
      </c>
      <c r="AQ9" s="55">
        <f t="shared" si="1"/>
        <v>0</v>
      </c>
      <c r="AR9" s="55">
        <f t="shared" si="1"/>
        <v>0</v>
      </c>
      <c r="AS9" s="55">
        <f t="shared" si="1"/>
        <v>0</v>
      </c>
      <c r="AT9" s="55">
        <f t="shared" si="1"/>
        <v>0</v>
      </c>
      <c r="AU9" s="55">
        <f t="shared" si="1"/>
        <v>0</v>
      </c>
      <c r="AV9" s="55">
        <f t="shared" si="1"/>
        <v>0</v>
      </c>
      <c r="AW9" s="55">
        <f t="shared" si="1"/>
        <v>0</v>
      </c>
      <c r="AX9" s="55">
        <f t="shared" si="1"/>
        <v>10000000</v>
      </c>
      <c r="AY9" s="55">
        <f t="shared" si="1"/>
        <v>0</v>
      </c>
      <c r="AZ9" s="55">
        <f t="shared" si="1"/>
        <v>0</v>
      </c>
      <c r="BA9" s="55">
        <f t="shared" si="1"/>
        <v>0</v>
      </c>
      <c r="BB9" s="55">
        <f t="shared" si="1"/>
        <v>0</v>
      </c>
      <c r="BC9" s="55">
        <f t="shared" si="1"/>
        <v>0</v>
      </c>
      <c r="BD9" s="55">
        <f t="shared" si="1"/>
        <v>0</v>
      </c>
      <c r="BE9" s="55">
        <f t="shared" si="1"/>
        <v>0</v>
      </c>
      <c r="BF9" s="55">
        <f t="shared" si="1"/>
        <v>0</v>
      </c>
      <c r="BG9" s="55">
        <f t="shared" si="1"/>
        <v>0</v>
      </c>
      <c r="BH9" s="55">
        <f t="shared" si="1"/>
        <v>0</v>
      </c>
      <c r="BI9" s="55">
        <f t="shared" si="1"/>
        <v>0</v>
      </c>
      <c r="BJ9" s="55">
        <f t="shared" si="1"/>
        <v>0</v>
      </c>
      <c r="BK9" s="55">
        <f t="shared" si="1"/>
        <v>0</v>
      </c>
      <c r="BL9" s="55">
        <f t="shared" si="1"/>
        <v>0</v>
      </c>
      <c r="BM9" s="55">
        <f t="shared" si="1"/>
        <v>0</v>
      </c>
      <c r="BN9" s="55">
        <f t="shared" si="1"/>
        <v>0</v>
      </c>
      <c r="BO9" s="55">
        <f t="shared" si="1"/>
        <v>0</v>
      </c>
      <c r="BP9" s="55">
        <f t="shared" si="1"/>
        <v>0</v>
      </c>
      <c r="BQ9" s="55">
        <f t="shared" si="1"/>
        <v>0</v>
      </c>
      <c r="BR9" s="55">
        <f t="shared" si="1"/>
        <v>0</v>
      </c>
      <c r="BS9" s="55">
        <f t="shared" si="1"/>
        <v>0</v>
      </c>
    </row>
    <row r="10" spans="1:71" s="57" customFormat="1" x14ac:dyDescent="0.2">
      <c r="A10" s="56" t="s">
        <v>41</v>
      </c>
      <c r="B10" s="57" t="s">
        <v>45</v>
      </c>
      <c r="G10" s="57" t="str">
        <f>"Total "&amp;G8</f>
        <v>Total Sales Revenue</v>
      </c>
      <c r="I10" s="58"/>
      <c r="V10" s="59">
        <f ca="1">SUM(X10:BS10)</f>
        <v>12500000</v>
      </c>
      <c r="X10" s="60">
        <f ca="1">SUBTOTAL(9,OFFSET(X8,1,0):OFFSET(X10,-1,0))</f>
        <v>0</v>
      </c>
      <c r="Y10" s="60">
        <f ca="1">SUBTOTAL(9,OFFSET(Y8,1,0):OFFSET(Y10,-1,0))</f>
        <v>0</v>
      </c>
      <c r="Z10" s="60">
        <f ca="1">SUBTOTAL(9,OFFSET(Z8,1,0):OFFSET(Z10,-1,0))</f>
        <v>0</v>
      </c>
      <c r="AA10" s="60">
        <f ca="1">SUBTOTAL(9,OFFSET(AA8,1,0):OFFSET(AA10,-1,0))</f>
        <v>0</v>
      </c>
      <c r="AB10" s="60">
        <f ca="1">SUBTOTAL(9,OFFSET(AB8,1,0):OFFSET(AB10,-1,0))</f>
        <v>0</v>
      </c>
      <c r="AC10" s="60">
        <f ca="1">SUBTOTAL(9,OFFSET(AC8,1,0):OFFSET(AC10,-1,0))</f>
        <v>0</v>
      </c>
      <c r="AD10" s="60">
        <f ca="1">SUBTOTAL(9,OFFSET(AD8,1,0):OFFSET(AD10,-1,0))</f>
        <v>0</v>
      </c>
      <c r="AE10" s="60">
        <f ca="1">SUBTOTAL(9,OFFSET(AE8,1,0):OFFSET(AE10,-1,0))</f>
        <v>0</v>
      </c>
      <c r="AF10" s="60">
        <f ca="1">SUBTOTAL(9,OFFSET(AF8,1,0):OFFSET(AF10,-1,0))</f>
        <v>0</v>
      </c>
      <c r="AG10" s="60">
        <f ca="1">SUBTOTAL(9,OFFSET(AG8,1,0):OFFSET(AG10,-1,0))</f>
        <v>0</v>
      </c>
      <c r="AH10" s="60">
        <f ca="1">SUBTOTAL(9,OFFSET(AH8,1,0):OFFSET(AH10,-1,0))</f>
        <v>0</v>
      </c>
      <c r="AI10" s="60">
        <f ca="1">SUBTOTAL(9,OFFSET(AI8,1,0):OFFSET(AI10,-1,0))</f>
        <v>0</v>
      </c>
      <c r="AJ10" s="60">
        <f ca="1">SUBTOTAL(9,OFFSET(AJ8,1,0):OFFSET(AJ10,-1,0))</f>
        <v>0</v>
      </c>
      <c r="AK10" s="60">
        <f ca="1">SUBTOTAL(9,OFFSET(AK8,1,0):OFFSET(AK10,-1,0))</f>
        <v>0</v>
      </c>
      <c r="AL10" s="60">
        <f ca="1">SUBTOTAL(9,OFFSET(AL8,1,0):OFFSET(AL10,-1,0))</f>
        <v>2500000</v>
      </c>
      <c r="AM10" s="60">
        <f ca="1">SUBTOTAL(9,OFFSET(AM8,1,0):OFFSET(AM10,-1,0))</f>
        <v>0</v>
      </c>
      <c r="AN10" s="60">
        <f ca="1">SUBTOTAL(9,OFFSET(AN8,1,0):OFFSET(AN10,-1,0))</f>
        <v>0</v>
      </c>
      <c r="AO10" s="60">
        <f ca="1">SUBTOTAL(9,OFFSET(AO8,1,0):OFFSET(AO10,-1,0))</f>
        <v>0</v>
      </c>
      <c r="AP10" s="60">
        <f ca="1">SUBTOTAL(9,OFFSET(AP8,1,0):OFFSET(AP10,-1,0))</f>
        <v>0</v>
      </c>
      <c r="AQ10" s="60">
        <f ca="1">SUBTOTAL(9,OFFSET(AQ8,1,0):OFFSET(AQ10,-1,0))</f>
        <v>0</v>
      </c>
      <c r="AR10" s="60">
        <f ca="1">SUBTOTAL(9,OFFSET(AR8,1,0):OFFSET(AR10,-1,0))</f>
        <v>0</v>
      </c>
      <c r="AS10" s="60">
        <f ca="1">SUBTOTAL(9,OFFSET(AS8,1,0):OFFSET(AS10,-1,0))</f>
        <v>0</v>
      </c>
      <c r="AT10" s="60">
        <f ca="1">SUBTOTAL(9,OFFSET(AT8,1,0):OFFSET(AT10,-1,0))</f>
        <v>0</v>
      </c>
      <c r="AU10" s="60">
        <f ca="1">SUBTOTAL(9,OFFSET(AU8,1,0):OFFSET(AU10,-1,0))</f>
        <v>0</v>
      </c>
      <c r="AV10" s="60">
        <f ca="1">SUBTOTAL(9,OFFSET(AV8,1,0):OFFSET(AV10,-1,0))</f>
        <v>0</v>
      </c>
      <c r="AW10" s="60">
        <f ca="1">SUBTOTAL(9,OFFSET(AW8,1,0):OFFSET(AW10,-1,0))</f>
        <v>0</v>
      </c>
      <c r="AX10" s="60">
        <f ca="1">SUBTOTAL(9,OFFSET(AX8,1,0):OFFSET(AX10,-1,0))</f>
        <v>10000000</v>
      </c>
      <c r="AY10" s="60">
        <f ca="1">SUBTOTAL(9,OFFSET(AY8,1,0):OFFSET(AY10,-1,0))</f>
        <v>0</v>
      </c>
      <c r="AZ10" s="60">
        <f ca="1">SUBTOTAL(9,OFFSET(AZ8,1,0):OFFSET(AZ10,-1,0))</f>
        <v>0</v>
      </c>
      <c r="BA10" s="60">
        <f ca="1">SUBTOTAL(9,OFFSET(BA8,1,0):OFFSET(BA10,-1,0))</f>
        <v>0</v>
      </c>
      <c r="BB10" s="60">
        <f ca="1">SUBTOTAL(9,OFFSET(BB8,1,0):OFFSET(BB10,-1,0))</f>
        <v>0</v>
      </c>
      <c r="BC10" s="60">
        <f ca="1">SUBTOTAL(9,OFFSET(BC8,1,0):OFFSET(BC10,-1,0))</f>
        <v>0</v>
      </c>
      <c r="BD10" s="60">
        <f ca="1">SUBTOTAL(9,OFFSET(BD8,1,0):OFFSET(BD10,-1,0))</f>
        <v>0</v>
      </c>
      <c r="BE10" s="60">
        <f ca="1">SUBTOTAL(9,OFFSET(BE8,1,0):OFFSET(BE10,-1,0))</f>
        <v>0</v>
      </c>
      <c r="BF10" s="60">
        <f ca="1">SUBTOTAL(9,OFFSET(BF8,1,0):OFFSET(BF10,-1,0))</f>
        <v>0</v>
      </c>
      <c r="BG10" s="60">
        <f ca="1">SUBTOTAL(9,OFFSET(BG8,1,0):OFFSET(BG10,-1,0))</f>
        <v>0</v>
      </c>
      <c r="BH10" s="60">
        <f ca="1">SUBTOTAL(9,OFFSET(BH8,1,0):OFFSET(BH10,-1,0))</f>
        <v>0</v>
      </c>
      <c r="BI10" s="60">
        <f ca="1">SUBTOTAL(9,OFFSET(BI8,1,0):OFFSET(BI10,-1,0))</f>
        <v>0</v>
      </c>
      <c r="BJ10" s="60">
        <f ca="1">SUBTOTAL(9,OFFSET(BJ8,1,0):OFFSET(BJ10,-1,0))</f>
        <v>0</v>
      </c>
      <c r="BK10" s="60">
        <f ca="1">SUBTOTAL(9,OFFSET(BK8,1,0):OFFSET(BK10,-1,0))</f>
        <v>0</v>
      </c>
      <c r="BL10" s="60">
        <f ca="1">SUBTOTAL(9,OFFSET(BL8,1,0):OFFSET(BL10,-1,0))</f>
        <v>0</v>
      </c>
      <c r="BM10" s="60">
        <f ca="1">SUBTOTAL(9,OFFSET(BM8,1,0):OFFSET(BM10,-1,0))</f>
        <v>0</v>
      </c>
      <c r="BN10" s="60">
        <f ca="1">SUBTOTAL(9,OFFSET(BN8,1,0):OFFSET(BN10,-1,0))</f>
        <v>0</v>
      </c>
      <c r="BO10" s="60">
        <f ca="1">SUBTOTAL(9,OFFSET(BO8,1,0):OFFSET(BO10,-1,0))</f>
        <v>0</v>
      </c>
      <c r="BP10" s="60">
        <f ca="1">SUBTOTAL(9,OFFSET(BP8,1,0):OFFSET(BP10,-1,0))</f>
        <v>0</v>
      </c>
      <c r="BQ10" s="60">
        <f ca="1">SUBTOTAL(9,OFFSET(BQ8,1,0):OFFSET(BQ10,-1,0))</f>
        <v>0</v>
      </c>
      <c r="BR10" s="60">
        <f ca="1">SUBTOTAL(9,OFFSET(BR8,1,0):OFFSET(BR10,-1,0))</f>
        <v>0</v>
      </c>
      <c r="BS10" s="60">
        <f ca="1">SUBTOTAL(9,OFFSET(BS8,1,0):OFFSET(BS10,-1,0))</f>
        <v>0</v>
      </c>
    </row>
    <row r="11" spans="1:71" x14ac:dyDescent="0.2">
      <c r="C11" s="61"/>
      <c r="D11" s="61"/>
      <c r="E11" s="36"/>
      <c r="F11" s="36"/>
      <c r="G11" s="38"/>
      <c r="P11" s="38"/>
      <c r="Q11" s="38"/>
      <c r="V11" s="42"/>
      <c r="W11" s="43"/>
      <c r="X11" s="44"/>
      <c r="Y11" s="45"/>
      <c r="Z11" s="45"/>
      <c r="AA11" s="45"/>
      <c r="AB11" s="45"/>
      <c r="AC11" s="45"/>
      <c r="AD11" s="45"/>
      <c r="AE11" s="45"/>
      <c r="AF11" s="45"/>
      <c r="AG11" s="45"/>
      <c r="AH11" s="45"/>
      <c r="AI11" s="45"/>
      <c r="AJ11" s="45"/>
      <c r="AK11" s="45"/>
      <c r="AL11" s="45"/>
      <c r="AM11" s="45"/>
      <c r="AN11" s="45"/>
      <c r="AO11" s="45"/>
      <c r="AP11" s="45"/>
      <c r="AQ11" s="45"/>
      <c r="AR11" s="45"/>
      <c r="AS11" s="45"/>
      <c r="AT11" s="45"/>
      <c r="AU11" s="45"/>
      <c r="AV11" s="45"/>
      <c r="AW11" s="45"/>
      <c r="AX11" s="45"/>
      <c r="AY11" s="45"/>
      <c r="AZ11" s="45"/>
      <c r="BA11" s="45"/>
      <c r="BB11" s="45"/>
      <c r="BC11" s="45"/>
      <c r="BD11" s="45"/>
      <c r="BE11" s="45"/>
      <c r="BF11" s="45"/>
      <c r="BG11" s="45"/>
      <c r="BH11" s="45"/>
      <c r="BI11" s="45"/>
      <c r="BJ11" s="45"/>
      <c r="BK11" s="45"/>
      <c r="BL11" s="45"/>
      <c r="BM11" s="45"/>
      <c r="BN11" s="45"/>
      <c r="BO11" s="45"/>
      <c r="BP11" s="45"/>
      <c r="BQ11" s="45"/>
      <c r="BR11" s="45"/>
      <c r="BS11" s="45"/>
    </row>
    <row r="12" spans="1:71" s="63" customFormat="1" x14ac:dyDescent="0.2">
      <c r="A12" s="62" t="s">
        <v>41</v>
      </c>
      <c r="B12" s="63" t="s">
        <v>46</v>
      </c>
      <c r="C12" s="64"/>
      <c r="D12" s="64"/>
      <c r="G12" s="63" t="str">
        <f>"Total "&amp;G6</f>
        <v>Total Revenues</v>
      </c>
      <c r="I12" s="65"/>
      <c r="V12" s="66">
        <f ca="1">SUM(X12:BS12)</f>
        <v>12500000</v>
      </c>
      <c r="X12" s="67">
        <f ca="1">SUBTOTAL(9,OFFSET(X$5,1,0):OFFSET(X12,-1,0))</f>
        <v>0</v>
      </c>
      <c r="Y12" s="67">
        <f ca="1">SUBTOTAL(9,OFFSET(Y$5,1,0):OFFSET(Y12,-1,0))</f>
        <v>0</v>
      </c>
      <c r="Z12" s="67">
        <f ca="1">SUBTOTAL(9,OFFSET(Z$5,1,0):OFFSET(Z12,-1,0))</f>
        <v>0</v>
      </c>
      <c r="AA12" s="67">
        <f ca="1">SUBTOTAL(9,OFFSET(AA$5,1,0):OFFSET(AA12,-1,0))</f>
        <v>0</v>
      </c>
      <c r="AB12" s="67">
        <f ca="1">SUBTOTAL(9,OFFSET(AB$5,1,0):OFFSET(AB12,-1,0))</f>
        <v>0</v>
      </c>
      <c r="AC12" s="67">
        <f ca="1">SUBTOTAL(9,OFFSET(AC$5,1,0):OFFSET(AC12,-1,0))</f>
        <v>0</v>
      </c>
      <c r="AD12" s="67">
        <f ca="1">SUBTOTAL(9,OFFSET(AD$5,1,0):OFFSET(AD12,-1,0))</f>
        <v>0</v>
      </c>
      <c r="AE12" s="67">
        <f ca="1">SUBTOTAL(9,OFFSET(AE$5,1,0):OFFSET(AE12,-1,0))</f>
        <v>0</v>
      </c>
      <c r="AF12" s="67">
        <f ca="1">SUBTOTAL(9,OFFSET(AF$5,1,0):OFFSET(AF12,-1,0))</f>
        <v>0</v>
      </c>
      <c r="AG12" s="67">
        <f ca="1">SUBTOTAL(9,OFFSET(AG$5,1,0):OFFSET(AG12,-1,0))</f>
        <v>0</v>
      </c>
      <c r="AH12" s="67">
        <f ca="1">SUBTOTAL(9,OFFSET(AH$5,1,0):OFFSET(AH12,-1,0))</f>
        <v>0</v>
      </c>
      <c r="AI12" s="67">
        <f ca="1">SUBTOTAL(9,OFFSET(AI$5,1,0):OFFSET(AI12,-1,0))</f>
        <v>0</v>
      </c>
      <c r="AJ12" s="67">
        <f ca="1">SUBTOTAL(9,OFFSET(AJ$5,1,0):OFFSET(AJ12,-1,0))</f>
        <v>0</v>
      </c>
      <c r="AK12" s="67">
        <f ca="1">SUBTOTAL(9,OFFSET(AK$5,1,0):OFFSET(AK12,-1,0))</f>
        <v>0</v>
      </c>
      <c r="AL12" s="67">
        <f ca="1">SUBTOTAL(9,OFFSET(AL$5,1,0):OFFSET(AL12,-1,0))</f>
        <v>2500000</v>
      </c>
      <c r="AM12" s="67">
        <f ca="1">SUBTOTAL(9,OFFSET(AM$5,1,0):OFFSET(AM12,-1,0))</f>
        <v>0</v>
      </c>
      <c r="AN12" s="67">
        <f ca="1">SUBTOTAL(9,OFFSET(AN$5,1,0):OFFSET(AN12,-1,0))</f>
        <v>0</v>
      </c>
      <c r="AO12" s="67">
        <f ca="1">SUBTOTAL(9,OFFSET(AO$5,1,0):OFFSET(AO12,-1,0))</f>
        <v>0</v>
      </c>
      <c r="AP12" s="67">
        <f ca="1">SUBTOTAL(9,OFFSET(AP$5,1,0):OFFSET(AP12,-1,0))</f>
        <v>0</v>
      </c>
      <c r="AQ12" s="67">
        <f ca="1">SUBTOTAL(9,OFFSET(AQ$5,1,0):OFFSET(AQ12,-1,0))</f>
        <v>0</v>
      </c>
      <c r="AR12" s="67">
        <f ca="1">SUBTOTAL(9,OFFSET(AR$5,1,0):OFFSET(AR12,-1,0))</f>
        <v>0</v>
      </c>
      <c r="AS12" s="67">
        <f ca="1">SUBTOTAL(9,OFFSET(AS$5,1,0):OFFSET(AS12,-1,0))</f>
        <v>0</v>
      </c>
      <c r="AT12" s="67">
        <f ca="1">SUBTOTAL(9,OFFSET(AT$5,1,0):OFFSET(AT12,-1,0))</f>
        <v>0</v>
      </c>
      <c r="AU12" s="67">
        <f ca="1">SUBTOTAL(9,OFFSET(AU$5,1,0):OFFSET(AU12,-1,0))</f>
        <v>0</v>
      </c>
      <c r="AV12" s="67">
        <f ca="1">SUBTOTAL(9,OFFSET(AV$5,1,0):OFFSET(AV12,-1,0))</f>
        <v>0</v>
      </c>
      <c r="AW12" s="67">
        <f ca="1">SUBTOTAL(9,OFFSET(AW$5,1,0):OFFSET(AW12,-1,0))</f>
        <v>0</v>
      </c>
      <c r="AX12" s="67">
        <f ca="1">SUBTOTAL(9,OFFSET(AX$5,1,0):OFFSET(AX12,-1,0))</f>
        <v>10000000</v>
      </c>
      <c r="AY12" s="67">
        <f ca="1">SUBTOTAL(9,OFFSET(AY$5,1,0):OFFSET(AY12,-1,0))</f>
        <v>0</v>
      </c>
      <c r="AZ12" s="67">
        <f ca="1">SUBTOTAL(9,OFFSET(AZ$5,1,0):OFFSET(AZ12,-1,0))</f>
        <v>0</v>
      </c>
      <c r="BA12" s="67">
        <f ca="1">SUBTOTAL(9,OFFSET(BA$5,1,0):OFFSET(BA12,-1,0))</f>
        <v>0</v>
      </c>
      <c r="BB12" s="67">
        <f ca="1">SUBTOTAL(9,OFFSET(BB$5,1,0):OFFSET(BB12,-1,0))</f>
        <v>0</v>
      </c>
      <c r="BC12" s="67">
        <f ca="1">SUBTOTAL(9,OFFSET(BC$5,1,0):OFFSET(BC12,-1,0))</f>
        <v>0</v>
      </c>
      <c r="BD12" s="67">
        <f ca="1">SUBTOTAL(9,OFFSET(BD$5,1,0):OFFSET(BD12,-1,0))</f>
        <v>0</v>
      </c>
      <c r="BE12" s="67">
        <f ca="1">SUBTOTAL(9,OFFSET(BE$5,1,0):OFFSET(BE12,-1,0))</f>
        <v>0</v>
      </c>
      <c r="BF12" s="67">
        <f ca="1">SUBTOTAL(9,OFFSET(BF$5,1,0):OFFSET(BF12,-1,0))</f>
        <v>0</v>
      </c>
      <c r="BG12" s="67">
        <f ca="1">SUBTOTAL(9,OFFSET(BG$5,1,0):OFFSET(BG12,-1,0))</f>
        <v>0</v>
      </c>
      <c r="BH12" s="67">
        <f ca="1">SUBTOTAL(9,OFFSET(BH$5,1,0):OFFSET(BH12,-1,0))</f>
        <v>0</v>
      </c>
      <c r="BI12" s="67">
        <f ca="1">SUBTOTAL(9,OFFSET(BI$5,1,0):OFFSET(BI12,-1,0))</f>
        <v>0</v>
      </c>
      <c r="BJ12" s="67">
        <f ca="1">SUBTOTAL(9,OFFSET(BJ$5,1,0):OFFSET(BJ12,-1,0))</f>
        <v>0</v>
      </c>
      <c r="BK12" s="67">
        <f ca="1">SUBTOTAL(9,OFFSET(BK$5,1,0):OFFSET(BK12,-1,0))</f>
        <v>0</v>
      </c>
      <c r="BL12" s="67">
        <f ca="1">SUBTOTAL(9,OFFSET(BL$5,1,0):OFFSET(BL12,-1,0))</f>
        <v>0</v>
      </c>
      <c r="BM12" s="67">
        <f ca="1">SUBTOTAL(9,OFFSET(BM$5,1,0):OFFSET(BM12,-1,0))</f>
        <v>0</v>
      </c>
      <c r="BN12" s="67">
        <f ca="1">SUBTOTAL(9,OFFSET(BN$5,1,0):OFFSET(BN12,-1,0))</f>
        <v>0</v>
      </c>
      <c r="BO12" s="67">
        <f ca="1">SUBTOTAL(9,OFFSET(BO$5,1,0):OFFSET(BO12,-1,0))</f>
        <v>0</v>
      </c>
      <c r="BP12" s="67">
        <f ca="1">SUBTOTAL(9,OFFSET(BP$5,1,0):OFFSET(BP12,-1,0))</f>
        <v>0</v>
      </c>
      <c r="BQ12" s="67">
        <f ca="1">SUBTOTAL(9,OFFSET(BQ$5,1,0):OFFSET(BQ12,-1,0))</f>
        <v>0</v>
      </c>
      <c r="BR12" s="67">
        <f ca="1">SUBTOTAL(9,OFFSET(BR$5,1,0):OFFSET(BR12,-1,0))</f>
        <v>0</v>
      </c>
      <c r="BS12" s="67">
        <f ca="1">SUBTOTAL(9,OFFSET(BS$5,1,0):OFFSET(BS12,-1,0))</f>
        <v>0</v>
      </c>
    </row>
    <row r="13" spans="1:71" x14ac:dyDescent="0.2">
      <c r="C13" s="61"/>
      <c r="D13" s="61"/>
      <c r="E13" s="36"/>
      <c r="F13" s="36"/>
      <c r="G13" s="38"/>
      <c r="P13" s="38"/>
      <c r="Q13" s="38"/>
      <c r="V13" s="42"/>
      <c r="W13" s="43"/>
      <c r="X13" s="44"/>
      <c r="Y13" s="45"/>
      <c r="Z13" s="45"/>
      <c r="AA13" s="45"/>
      <c r="AB13" s="45"/>
      <c r="AC13" s="45"/>
      <c r="AD13" s="45"/>
      <c r="AE13" s="45"/>
      <c r="AF13" s="45"/>
      <c r="AG13" s="45"/>
      <c r="AH13" s="45"/>
      <c r="AI13" s="45"/>
      <c r="AJ13" s="45"/>
      <c r="AK13" s="45"/>
      <c r="AL13" s="45"/>
      <c r="AM13" s="45"/>
      <c r="AN13" s="45"/>
      <c r="AO13" s="45"/>
      <c r="AP13" s="45"/>
      <c r="AQ13" s="45"/>
      <c r="AR13" s="45"/>
      <c r="AS13" s="45"/>
      <c r="AT13" s="45"/>
      <c r="AU13" s="45"/>
      <c r="AV13" s="45"/>
      <c r="AW13" s="45"/>
      <c r="AX13" s="45"/>
      <c r="AY13" s="45"/>
      <c r="AZ13" s="45"/>
      <c r="BA13" s="45"/>
      <c r="BB13" s="45"/>
      <c r="BC13" s="45"/>
      <c r="BD13" s="45"/>
      <c r="BE13" s="45"/>
      <c r="BF13" s="45"/>
      <c r="BG13" s="45"/>
      <c r="BH13" s="45"/>
      <c r="BI13" s="45"/>
      <c r="BJ13" s="45"/>
      <c r="BK13" s="45"/>
      <c r="BL13" s="45"/>
      <c r="BM13" s="45"/>
      <c r="BN13" s="45"/>
      <c r="BO13" s="45"/>
      <c r="BP13" s="45"/>
      <c r="BQ13" s="45"/>
      <c r="BR13" s="45"/>
      <c r="BS13" s="45"/>
    </row>
    <row r="14" spans="1:71" x14ac:dyDescent="0.2">
      <c r="A14" s="36" t="s">
        <v>37</v>
      </c>
      <c r="C14" s="61"/>
      <c r="D14" s="61"/>
      <c r="G14" s="38" t="s">
        <v>47</v>
      </c>
      <c r="R14" s="68"/>
      <c r="T14" s="68"/>
      <c r="V14" s="42"/>
      <c r="W14" s="43"/>
    </row>
    <row r="15" spans="1:71" x14ac:dyDescent="0.2">
      <c r="C15" s="61"/>
      <c r="D15" s="61"/>
      <c r="V15" s="69"/>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c r="AX15" s="68"/>
      <c r="AY15" s="68"/>
      <c r="AZ15" s="68"/>
      <c r="BA15" s="68"/>
      <c r="BB15" s="68"/>
      <c r="BC15" s="68"/>
      <c r="BD15" s="68"/>
      <c r="BE15" s="68"/>
      <c r="BF15" s="68"/>
      <c r="BG15" s="68"/>
      <c r="BH15" s="68"/>
      <c r="BI15" s="68"/>
      <c r="BJ15" s="68"/>
      <c r="BK15" s="68"/>
      <c r="BL15" s="68"/>
      <c r="BM15" s="68"/>
      <c r="BN15" s="68"/>
      <c r="BO15" s="68"/>
      <c r="BP15" s="68"/>
      <c r="BQ15" s="68"/>
      <c r="BR15" s="68"/>
      <c r="BS15" s="68"/>
    </row>
    <row r="16" spans="1:71" x14ac:dyDescent="0.2">
      <c r="A16" s="36" t="s">
        <v>39</v>
      </c>
      <c r="C16" s="61"/>
      <c r="D16" s="61"/>
      <c r="G16" s="38" t="s">
        <v>48</v>
      </c>
      <c r="V16" s="69"/>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c r="AX16" s="68"/>
      <c r="AY16" s="68"/>
      <c r="AZ16" s="68"/>
      <c r="BA16" s="68"/>
      <c r="BB16" s="68"/>
      <c r="BC16" s="68"/>
      <c r="BD16" s="68"/>
      <c r="BE16" s="68"/>
      <c r="BF16" s="68"/>
      <c r="BG16" s="68"/>
      <c r="BH16" s="68"/>
      <c r="BI16" s="68"/>
      <c r="BJ16" s="68"/>
      <c r="BK16" s="68"/>
      <c r="BL16" s="68"/>
      <c r="BM16" s="68"/>
      <c r="BN16" s="68"/>
      <c r="BO16" s="68"/>
      <c r="BP16" s="68"/>
      <c r="BQ16" s="68"/>
      <c r="BR16" s="68"/>
      <c r="BS16" s="68"/>
    </row>
    <row r="17" spans="1:71" s="35" customFormat="1" x14ac:dyDescent="0.2">
      <c r="A17" s="47" t="s">
        <v>41</v>
      </c>
      <c r="B17" s="35" t="s">
        <v>49</v>
      </c>
      <c r="C17" s="48">
        <v>0.19</v>
      </c>
      <c r="D17" s="70" t="s">
        <v>50</v>
      </c>
      <c r="E17" s="53"/>
      <c r="G17" s="35" t="s">
        <v>51</v>
      </c>
      <c r="I17" s="50"/>
      <c r="J17" s="51" t="s">
        <v>52</v>
      </c>
      <c r="K17" s="71">
        <v>8.5</v>
      </c>
      <c r="L17" s="51" t="s">
        <v>53</v>
      </c>
      <c r="M17" s="71">
        <v>6</v>
      </c>
      <c r="N17" s="51" t="s">
        <v>54</v>
      </c>
      <c r="O17" s="72">
        <v>0.90344906956907001</v>
      </c>
      <c r="P17" s="51" t="s">
        <v>55</v>
      </c>
      <c r="Q17" s="53">
        <f>EDATE(Start_Date,4)</f>
        <v>44317</v>
      </c>
      <c r="R17" s="51" t="s">
        <v>56</v>
      </c>
      <c r="S17" s="53">
        <f>EDATE(Gaussian_Start,20)</f>
        <v>44927</v>
      </c>
      <c r="T17" s="51" t="s">
        <v>57</v>
      </c>
      <c r="U17" s="52">
        <v>5000000</v>
      </c>
      <c r="V17" s="54">
        <f>SUM(X17:BS17)</f>
        <v>5000000</v>
      </c>
      <c r="W17" s="55"/>
      <c r="X17" s="55">
        <f t="shared" ref="X17:BS17" si="2">IF(AND(X$4&gt;=Gaussian_Start,X$4&lt;=Gaussian_End),IFERROR((EXP(-0.5*((DATEDIF(Gaussian_Start,X$4,"M")-(Gaussian_Mean*2-1)/2)/Standard_Dev)^2))/(Standard_Dev*SQRT(2*PI()))*Gaussian_Tot_Costs/Gaussian_Area,0),0)</f>
        <v>0</v>
      </c>
      <c r="Y17" s="55">
        <f t="shared" si="2"/>
        <v>0</v>
      </c>
      <c r="Z17" s="55">
        <f t="shared" si="2"/>
        <v>0</v>
      </c>
      <c r="AA17" s="55">
        <f t="shared" si="2"/>
        <v>0</v>
      </c>
      <c r="AB17" s="55">
        <f t="shared" si="2"/>
        <v>151281.42452477856</v>
      </c>
      <c r="AC17" s="55">
        <f t="shared" si="2"/>
        <v>186321.77909265802</v>
      </c>
      <c r="AD17" s="55">
        <f t="shared" si="2"/>
        <v>223191.62997068494</v>
      </c>
      <c r="AE17" s="55">
        <f t="shared" si="2"/>
        <v>260032.98996585916</v>
      </c>
      <c r="AF17" s="55">
        <f t="shared" si="2"/>
        <v>294655.98032615491</v>
      </c>
      <c r="AG17" s="55">
        <f t="shared" si="2"/>
        <v>324741.90542198904</v>
      </c>
      <c r="AH17" s="55">
        <f t="shared" si="2"/>
        <v>348094.91057143797</v>
      </c>
      <c r="AI17" s="55">
        <f t="shared" si="2"/>
        <v>362905.27172863955</v>
      </c>
      <c r="AJ17" s="55">
        <f t="shared" si="2"/>
        <v>367980.7877749005</v>
      </c>
      <c r="AK17" s="55">
        <f t="shared" si="2"/>
        <v>362905.27172863955</v>
      </c>
      <c r="AL17" s="55">
        <f t="shared" si="2"/>
        <v>348094.91057143797</v>
      </c>
      <c r="AM17" s="55">
        <f t="shared" si="2"/>
        <v>324741.90542198904</v>
      </c>
      <c r="AN17" s="55">
        <f t="shared" si="2"/>
        <v>294655.98032615491</v>
      </c>
      <c r="AO17" s="55">
        <f t="shared" si="2"/>
        <v>260032.98996585916</v>
      </c>
      <c r="AP17" s="55">
        <f t="shared" si="2"/>
        <v>223191.62997068494</v>
      </c>
      <c r="AQ17" s="55">
        <f t="shared" si="2"/>
        <v>186321.77909265802</v>
      </c>
      <c r="AR17" s="55">
        <f t="shared" si="2"/>
        <v>151281.42452477856</v>
      </c>
      <c r="AS17" s="55">
        <f t="shared" si="2"/>
        <v>119465.8706915907</v>
      </c>
      <c r="AT17" s="55">
        <f t="shared" si="2"/>
        <v>91756.82221928089</v>
      </c>
      <c r="AU17" s="55">
        <f t="shared" si="2"/>
        <v>68543.951970676004</v>
      </c>
      <c r="AV17" s="55">
        <f t="shared" si="2"/>
        <v>49800.784139148025</v>
      </c>
      <c r="AW17" s="55">
        <f t="shared" si="2"/>
        <v>0</v>
      </c>
      <c r="AX17" s="55">
        <f t="shared" si="2"/>
        <v>0</v>
      </c>
      <c r="AY17" s="55">
        <f t="shared" si="2"/>
        <v>0</v>
      </c>
      <c r="AZ17" s="55">
        <f t="shared" si="2"/>
        <v>0</v>
      </c>
      <c r="BA17" s="55">
        <f t="shared" si="2"/>
        <v>0</v>
      </c>
      <c r="BB17" s="55">
        <f t="shared" si="2"/>
        <v>0</v>
      </c>
      <c r="BC17" s="55">
        <f t="shared" si="2"/>
        <v>0</v>
      </c>
      <c r="BD17" s="55">
        <f t="shared" si="2"/>
        <v>0</v>
      </c>
      <c r="BE17" s="55">
        <f t="shared" si="2"/>
        <v>0</v>
      </c>
      <c r="BF17" s="55">
        <f t="shared" si="2"/>
        <v>0</v>
      </c>
      <c r="BG17" s="55">
        <f t="shared" si="2"/>
        <v>0</v>
      </c>
      <c r="BH17" s="55">
        <f t="shared" si="2"/>
        <v>0</v>
      </c>
      <c r="BI17" s="55">
        <f t="shared" si="2"/>
        <v>0</v>
      </c>
      <c r="BJ17" s="55">
        <f t="shared" si="2"/>
        <v>0</v>
      </c>
      <c r="BK17" s="55">
        <f t="shared" si="2"/>
        <v>0</v>
      </c>
      <c r="BL17" s="55">
        <f t="shared" si="2"/>
        <v>0</v>
      </c>
      <c r="BM17" s="55">
        <f t="shared" si="2"/>
        <v>0</v>
      </c>
      <c r="BN17" s="55">
        <f t="shared" si="2"/>
        <v>0</v>
      </c>
      <c r="BO17" s="55">
        <f t="shared" si="2"/>
        <v>0</v>
      </c>
      <c r="BP17" s="55">
        <f t="shared" si="2"/>
        <v>0</v>
      </c>
      <c r="BQ17" s="55">
        <f t="shared" si="2"/>
        <v>0</v>
      </c>
      <c r="BR17" s="55">
        <f t="shared" si="2"/>
        <v>0</v>
      </c>
      <c r="BS17" s="55">
        <f t="shared" si="2"/>
        <v>0</v>
      </c>
    </row>
    <row r="18" spans="1:71" s="57" customFormat="1" x14ac:dyDescent="0.2">
      <c r="A18" s="56" t="s">
        <v>41</v>
      </c>
      <c r="B18" s="57" t="s">
        <v>58</v>
      </c>
      <c r="G18" s="57" t="str">
        <f>"Total "&amp;G16</f>
        <v>Total Direct Manufacturing</v>
      </c>
      <c r="I18" s="58"/>
      <c r="V18" s="59">
        <f ca="1">SUM(X18:BS18)</f>
        <v>5000000</v>
      </c>
      <c r="X18" s="60">
        <f ca="1">SUBTOTAL(9,OFFSET(X16,1,0):OFFSET(X18,-1,0))</f>
        <v>0</v>
      </c>
      <c r="Y18" s="60">
        <f ca="1">SUBTOTAL(9,OFFSET(Y16,1,0):OFFSET(Y18,-1,0))</f>
        <v>0</v>
      </c>
      <c r="Z18" s="60">
        <f ca="1">SUBTOTAL(9,OFFSET(Z16,1,0):OFFSET(Z18,-1,0))</f>
        <v>0</v>
      </c>
      <c r="AA18" s="60">
        <f ca="1">SUBTOTAL(9,OFFSET(AA16,1,0):OFFSET(AA18,-1,0))</f>
        <v>0</v>
      </c>
      <c r="AB18" s="60">
        <f ca="1">SUBTOTAL(9,OFFSET(AB16,1,0):OFFSET(AB18,-1,0))</f>
        <v>151281.42452477856</v>
      </c>
      <c r="AC18" s="60">
        <f ca="1">SUBTOTAL(9,OFFSET(AC16,1,0):OFFSET(AC18,-1,0))</f>
        <v>186321.77909265802</v>
      </c>
      <c r="AD18" s="60">
        <f ca="1">SUBTOTAL(9,OFFSET(AD16,1,0):OFFSET(AD18,-1,0))</f>
        <v>223191.62997068494</v>
      </c>
      <c r="AE18" s="60">
        <f ca="1">SUBTOTAL(9,OFFSET(AE16,1,0):OFFSET(AE18,-1,0))</f>
        <v>260032.98996585916</v>
      </c>
      <c r="AF18" s="60">
        <f ca="1">SUBTOTAL(9,OFFSET(AF16,1,0):OFFSET(AF18,-1,0))</f>
        <v>294655.98032615491</v>
      </c>
      <c r="AG18" s="60">
        <f ca="1">SUBTOTAL(9,OFFSET(AG16,1,0):OFFSET(AG18,-1,0))</f>
        <v>324741.90542198904</v>
      </c>
      <c r="AH18" s="60">
        <f ca="1">SUBTOTAL(9,OFFSET(AH16,1,0):OFFSET(AH18,-1,0))</f>
        <v>348094.91057143797</v>
      </c>
      <c r="AI18" s="60">
        <f ca="1">SUBTOTAL(9,OFFSET(AI16,1,0):OFFSET(AI18,-1,0))</f>
        <v>362905.27172863955</v>
      </c>
      <c r="AJ18" s="60">
        <f ca="1">SUBTOTAL(9,OFFSET(AJ16,1,0):OFFSET(AJ18,-1,0))</f>
        <v>367980.7877749005</v>
      </c>
      <c r="AK18" s="60">
        <f ca="1">SUBTOTAL(9,OFFSET(AK16,1,0):OFFSET(AK18,-1,0))</f>
        <v>362905.27172863955</v>
      </c>
      <c r="AL18" s="60">
        <f ca="1">SUBTOTAL(9,OFFSET(AL16,1,0):OFFSET(AL18,-1,0))</f>
        <v>348094.91057143797</v>
      </c>
      <c r="AM18" s="60">
        <f ca="1">SUBTOTAL(9,OFFSET(AM16,1,0):OFFSET(AM18,-1,0))</f>
        <v>324741.90542198904</v>
      </c>
      <c r="AN18" s="60">
        <f ca="1">SUBTOTAL(9,OFFSET(AN16,1,0):OFFSET(AN18,-1,0))</f>
        <v>294655.98032615491</v>
      </c>
      <c r="AO18" s="60">
        <f ca="1">SUBTOTAL(9,OFFSET(AO16,1,0):OFFSET(AO18,-1,0))</f>
        <v>260032.98996585916</v>
      </c>
      <c r="AP18" s="60">
        <f ca="1">SUBTOTAL(9,OFFSET(AP16,1,0):OFFSET(AP18,-1,0))</f>
        <v>223191.62997068494</v>
      </c>
      <c r="AQ18" s="60">
        <f ca="1">SUBTOTAL(9,OFFSET(AQ16,1,0):OFFSET(AQ18,-1,0))</f>
        <v>186321.77909265802</v>
      </c>
      <c r="AR18" s="60">
        <f ca="1">SUBTOTAL(9,OFFSET(AR16,1,0):OFFSET(AR18,-1,0))</f>
        <v>151281.42452477856</v>
      </c>
      <c r="AS18" s="60">
        <f ca="1">SUBTOTAL(9,OFFSET(AS16,1,0):OFFSET(AS18,-1,0))</f>
        <v>119465.8706915907</v>
      </c>
      <c r="AT18" s="60">
        <f ca="1">SUBTOTAL(9,OFFSET(AT16,1,0):OFFSET(AT18,-1,0))</f>
        <v>91756.82221928089</v>
      </c>
      <c r="AU18" s="60">
        <f ca="1">SUBTOTAL(9,OFFSET(AU16,1,0):OFFSET(AU18,-1,0))</f>
        <v>68543.951970676004</v>
      </c>
      <c r="AV18" s="60">
        <f ca="1">SUBTOTAL(9,OFFSET(AV16,1,0):OFFSET(AV18,-1,0))</f>
        <v>49800.784139148025</v>
      </c>
      <c r="AW18" s="60">
        <f ca="1">SUBTOTAL(9,OFFSET(AW16,1,0):OFFSET(AW18,-1,0))</f>
        <v>0</v>
      </c>
      <c r="AX18" s="60">
        <f ca="1">SUBTOTAL(9,OFFSET(AX16,1,0):OFFSET(AX18,-1,0))</f>
        <v>0</v>
      </c>
      <c r="AY18" s="60">
        <f ca="1">SUBTOTAL(9,OFFSET(AY16,1,0):OFFSET(AY18,-1,0))</f>
        <v>0</v>
      </c>
      <c r="AZ18" s="60">
        <f ca="1">SUBTOTAL(9,OFFSET(AZ16,1,0):OFFSET(AZ18,-1,0))</f>
        <v>0</v>
      </c>
      <c r="BA18" s="60">
        <f ca="1">SUBTOTAL(9,OFFSET(BA16,1,0):OFFSET(BA18,-1,0))</f>
        <v>0</v>
      </c>
      <c r="BB18" s="60">
        <f ca="1">SUBTOTAL(9,OFFSET(BB16,1,0):OFFSET(BB18,-1,0))</f>
        <v>0</v>
      </c>
      <c r="BC18" s="60">
        <f ca="1">SUBTOTAL(9,OFFSET(BC16,1,0):OFFSET(BC18,-1,0))</f>
        <v>0</v>
      </c>
      <c r="BD18" s="60">
        <f ca="1">SUBTOTAL(9,OFFSET(BD16,1,0):OFFSET(BD18,-1,0))</f>
        <v>0</v>
      </c>
      <c r="BE18" s="60">
        <f ca="1">SUBTOTAL(9,OFFSET(BE16,1,0):OFFSET(BE18,-1,0))</f>
        <v>0</v>
      </c>
      <c r="BF18" s="60">
        <f ca="1">SUBTOTAL(9,OFFSET(BF16,1,0):OFFSET(BF18,-1,0))</f>
        <v>0</v>
      </c>
      <c r="BG18" s="60">
        <f ca="1">SUBTOTAL(9,OFFSET(BG16,1,0):OFFSET(BG18,-1,0))</f>
        <v>0</v>
      </c>
      <c r="BH18" s="60">
        <f ca="1">SUBTOTAL(9,OFFSET(BH16,1,0):OFFSET(BH18,-1,0))</f>
        <v>0</v>
      </c>
      <c r="BI18" s="60">
        <f ca="1">SUBTOTAL(9,OFFSET(BI16,1,0):OFFSET(BI18,-1,0))</f>
        <v>0</v>
      </c>
      <c r="BJ18" s="60">
        <f ca="1">SUBTOTAL(9,OFFSET(BJ16,1,0):OFFSET(BJ18,-1,0))</f>
        <v>0</v>
      </c>
      <c r="BK18" s="60">
        <f ca="1">SUBTOTAL(9,OFFSET(BK16,1,0):OFFSET(BK18,-1,0))</f>
        <v>0</v>
      </c>
      <c r="BL18" s="60">
        <f ca="1">SUBTOTAL(9,OFFSET(BL16,1,0):OFFSET(BL18,-1,0))</f>
        <v>0</v>
      </c>
      <c r="BM18" s="60">
        <f ca="1">SUBTOTAL(9,OFFSET(BM16,1,0):OFFSET(BM18,-1,0))</f>
        <v>0</v>
      </c>
      <c r="BN18" s="60">
        <f ca="1">SUBTOTAL(9,OFFSET(BN16,1,0):OFFSET(BN18,-1,0))</f>
        <v>0</v>
      </c>
      <c r="BO18" s="60">
        <f ca="1">SUBTOTAL(9,OFFSET(BO16,1,0):OFFSET(BO18,-1,0))</f>
        <v>0</v>
      </c>
      <c r="BP18" s="60">
        <f ca="1">SUBTOTAL(9,OFFSET(BP16,1,0):OFFSET(BP18,-1,0))</f>
        <v>0</v>
      </c>
      <c r="BQ18" s="60">
        <f ca="1">SUBTOTAL(9,OFFSET(BQ16,1,0):OFFSET(BQ18,-1,0))</f>
        <v>0</v>
      </c>
      <c r="BR18" s="60">
        <f ca="1">SUBTOTAL(9,OFFSET(BR16,1,0):OFFSET(BR18,-1,0))</f>
        <v>0</v>
      </c>
      <c r="BS18" s="60">
        <f ca="1">SUBTOTAL(9,OFFSET(BS16,1,0):OFFSET(BS18,-1,0))</f>
        <v>0</v>
      </c>
    </row>
    <row r="19" spans="1:71" x14ac:dyDescent="0.2">
      <c r="C19" s="61"/>
      <c r="D19" s="61"/>
      <c r="P19" s="38"/>
      <c r="R19" s="38"/>
      <c r="T19" s="38"/>
      <c r="V19" s="69"/>
    </row>
    <row r="20" spans="1:71" x14ac:dyDescent="0.2">
      <c r="A20" s="36" t="s">
        <v>39</v>
      </c>
      <c r="C20" s="61"/>
      <c r="D20" s="61"/>
      <c r="G20" s="38" t="s">
        <v>59</v>
      </c>
      <c r="P20" s="38"/>
      <c r="R20" s="38"/>
      <c r="T20" s="38"/>
      <c r="V20" s="69"/>
    </row>
    <row r="21" spans="1:71" s="35" customFormat="1" x14ac:dyDescent="0.2">
      <c r="A21" s="47" t="s">
        <v>41</v>
      </c>
      <c r="B21" s="35" t="s">
        <v>60</v>
      </c>
      <c r="C21" s="48"/>
      <c r="D21" s="70"/>
      <c r="E21" s="53"/>
      <c r="G21" s="35" t="s">
        <v>59</v>
      </c>
      <c r="I21" s="50"/>
      <c r="L21" s="73"/>
      <c r="M21" s="51" t="s">
        <v>61</v>
      </c>
      <c r="N21" s="74" t="s">
        <v>62</v>
      </c>
      <c r="P21" s="51" t="s">
        <v>55</v>
      </c>
      <c r="Q21" s="53">
        <f>EDATE(Start_Date,1)</f>
        <v>44228</v>
      </c>
      <c r="R21" s="51" t="s">
        <v>56</v>
      </c>
      <c r="S21" s="53">
        <f>EDATE(Q21,5)</f>
        <v>44378</v>
      </c>
      <c r="T21" s="51" t="s">
        <v>57</v>
      </c>
      <c r="U21" s="52">
        <v>500000</v>
      </c>
      <c r="V21" s="54">
        <f>SUM(X21:BS21)</f>
        <v>500000</v>
      </c>
      <c r="X21" s="55">
        <f>IF(X$4&gt;=$Q21,$U21*(IF(X$4&lt;=$S21,1,0)+IFERROR((DATEDIF($Q21,MIN(--W$4,$S21),"M")+1),0)/IF($N21="Next mo.",1,IFERROR(DATEDIF(X$4,$S21,"M")+1,1)))/(DATEDIF($Q21,$S21,"M")+1)-SUM($W21:W21)/IF($N21="Next mo.",1,IFERROR(DATEDIF(X$4,$S21,"M")+1,1)),0)</f>
        <v>0</v>
      </c>
      <c r="Y21" s="55">
        <f>IF(Y$4&gt;=$Q21,$U21*(IF(Y$4&lt;=$S21,1,0)+IFERROR((DATEDIF($Q21,MIN(--X$4,$S21),"M")+1),0)/IF($N21="Next mo.",1,IFERROR(DATEDIF(Y$4,$S21,"M")+1,1)))/(DATEDIF($Q21,$S21,"M")+1)-SUM($W21:X21)/IF($N21="Next mo.",1,IFERROR(DATEDIF(Y$4,$S21,"M")+1,1)),0)</f>
        <v>83333.333333333328</v>
      </c>
      <c r="Z21" s="55">
        <f>IF(Z$4&gt;=$Q21,$U21*(IF(Z$4&lt;=$S21,1,0)+IFERROR((DATEDIF($Q21,MIN(--Y$4,$S21),"M")+1),0)/IF($N21="Next mo.",1,IFERROR(DATEDIF(Z$4,$S21,"M")+1,1)))/(DATEDIF($Q21,$S21,"M")+1)-SUM($W21:Y21)/IF($N21="Next mo.",1,IFERROR(DATEDIF(Z$4,$S21,"M")+1,1)),0)</f>
        <v>83333.333333333343</v>
      </c>
      <c r="AA21" s="55">
        <f>IF(AA$4&gt;=$Q21,$U21*(IF(AA$4&lt;=$S21,1,0)+IFERROR((DATEDIF($Q21,MIN(--Z$4,$S21),"M")+1),0)/IF($N21="Next mo.",1,IFERROR(DATEDIF(AA$4,$S21,"M")+1,1)))/(DATEDIF($Q21,$S21,"M")+1)-SUM($W21:Z21)/IF($N21="Next mo.",1,IFERROR(DATEDIF(AA$4,$S21,"M")+1,1)),0)</f>
        <v>83333.333333333328</v>
      </c>
      <c r="AB21" s="55">
        <f>IF(AB$4&gt;=$Q21,$U21*(IF(AB$4&lt;=$S21,1,0)+IFERROR((DATEDIF($Q21,MIN(--AA$4,$S21),"M")+1),0)/IF($N21="Next mo.",1,IFERROR(DATEDIF(AB$4,$S21,"M")+1,1)))/(DATEDIF($Q21,$S21,"M")+1)-SUM($W21:AA21)/IF($N21="Next mo.",1,IFERROR(DATEDIF(AB$4,$S21,"M")+1,1)),0)</f>
        <v>83333.333333333328</v>
      </c>
      <c r="AC21" s="55">
        <f>IF(AC$4&gt;=$Q21,$U21*(IF(AC$4&lt;=$S21,1,0)+IFERROR((DATEDIF($Q21,MIN(--AB$4,$S21),"M")+1),0)/IF($N21="Next mo.",1,IFERROR(DATEDIF(AC$4,$S21,"M")+1,1)))/(DATEDIF($Q21,$S21,"M")+1)-SUM($W21:AB21)/IF($N21="Next mo.",1,IFERROR(DATEDIF(AC$4,$S21,"M")+1,1)),0)</f>
        <v>83333.333333333343</v>
      </c>
      <c r="AD21" s="55">
        <f>IF(AD$4&gt;=$Q21,$U21*(IF(AD$4&lt;=$S21,1,0)+IFERROR((DATEDIF($Q21,MIN(--AC$4,$S21),"M")+1),0)/IF($N21="Next mo.",1,IFERROR(DATEDIF(AD$4,$S21,"M")+1,1)))/(DATEDIF($Q21,$S21,"M")+1)-SUM($W21:AC21)/IF($N21="Next mo.",1,IFERROR(DATEDIF(AD$4,$S21,"M")+1,1)),0)</f>
        <v>83333.333333333372</v>
      </c>
      <c r="AE21" s="55">
        <f>IF(AE$4&gt;=$Q21,$U21*(IF(AE$4&lt;=$S21,1,0)+IFERROR((DATEDIF($Q21,MIN(--AD$4,$S21),"M")+1),0)/IF($N21="Next mo.",1,IFERROR(DATEDIF(AE$4,$S21,"M")+1,1)))/(DATEDIF($Q21,$S21,"M")+1)-SUM($W21:AD21)/IF($N21="Next mo.",1,IFERROR(DATEDIF(AE$4,$S21,"M")+1,1)),0)</f>
        <v>0</v>
      </c>
      <c r="AF21" s="55">
        <f>IF(AF$4&gt;=$Q21,$U21*(IF(AF$4&lt;=$S21,1,0)+IFERROR((DATEDIF($Q21,MIN(--AE$4,$S21),"M")+1),0)/IF($N21="Next mo.",1,IFERROR(DATEDIF(AF$4,$S21,"M")+1,1)))/(DATEDIF($Q21,$S21,"M")+1)-SUM($W21:AE21)/IF($N21="Next mo.",1,IFERROR(DATEDIF(AF$4,$S21,"M")+1,1)),0)</f>
        <v>0</v>
      </c>
      <c r="AG21" s="55">
        <f>IF(AG$4&gt;=$Q21,$U21*(IF(AG$4&lt;=$S21,1,0)+IFERROR((DATEDIF($Q21,MIN(--AF$4,$S21),"M")+1),0)/IF($N21="Next mo.",1,IFERROR(DATEDIF(AG$4,$S21,"M")+1,1)))/(DATEDIF($Q21,$S21,"M")+1)-SUM($W21:AF21)/IF($N21="Next mo.",1,IFERROR(DATEDIF(AG$4,$S21,"M")+1,1)),0)</f>
        <v>0</v>
      </c>
      <c r="AH21" s="55">
        <f>IF(AH$4&gt;=$Q21,$U21*(IF(AH$4&lt;=$S21,1,0)+IFERROR((DATEDIF($Q21,MIN(--AG$4,$S21),"M")+1),0)/IF($N21="Next mo.",1,IFERROR(DATEDIF(AH$4,$S21,"M")+1,1)))/(DATEDIF($Q21,$S21,"M")+1)-SUM($W21:AG21)/IF($N21="Next mo.",1,IFERROR(DATEDIF(AH$4,$S21,"M")+1,1)),0)</f>
        <v>0</v>
      </c>
      <c r="AI21" s="55">
        <f>IF(AI$4&gt;=$Q21,$U21*(IF(AI$4&lt;=$S21,1,0)+IFERROR((DATEDIF($Q21,MIN(--AH$4,$S21),"M")+1),0)/IF($N21="Next mo.",1,IFERROR(DATEDIF(AI$4,$S21,"M")+1,1)))/(DATEDIF($Q21,$S21,"M")+1)-SUM($W21:AH21)/IF($N21="Next mo.",1,IFERROR(DATEDIF(AI$4,$S21,"M")+1,1)),0)</f>
        <v>0</v>
      </c>
      <c r="AJ21" s="55">
        <f>IF(AJ$4&gt;=$Q21,$U21*(IF(AJ$4&lt;=$S21,1,0)+IFERROR((DATEDIF($Q21,MIN(--AI$4,$S21),"M")+1),0)/IF($N21="Next mo.",1,IFERROR(DATEDIF(AJ$4,$S21,"M")+1,1)))/(DATEDIF($Q21,$S21,"M")+1)-SUM($W21:AI21)/IF($N21="Next mo.",1,IFERROR(DATEDIF(AJ$4,$S21,"M")+1,1)),0)</f>
        <v>0</v>
      </c>
      <c r="AK21" s="55">
        <f>IF(AK$4&gt;=$Q21,$U21*(IF(AK$4&lt;=$S21,1,0)+IFERROR((DATEDIF($Q21,MIN(--AJ$4,$S21),"M")+1),0)/IF($N21="Next mo.",1,IFERROR(DATEDIF(AK$4,$S21,"M")+1,1)))/(DATEDIF($Q21,$S21,"M")+1)-SUM($W21:AJ21)/IF($N21="Next mo.",1,IFERROR(DATEDIF(AK$4,$S21,"M")+1,1)),0)</f>
        <v>0</v>
      </c>
      <c r="AL21" s="55">
        <f>IF(AL$4&gt;=$Q21,$U21*(IF(AL$4&lt;=$S21,1,0)+IFERROR((DATEDIF($Q21,MIN(--AK$4,$S21),"M")+1),0)/IF($N21="Next mo.",1,IFERROR(DATEDIF(AL$4,$S21,"M")+1,1)))/(DATEDIF($Q21,$S21,"M")+1)-SUM($W21:AK21)/IF($N21="Next mo.",1,IFERROR(DATEDIF(AL$4,$S21,"M")+1,1)),0)</f>
        <v>0</v>
      </c>
      <c r="AM21" s="55">
        <f>IF(AM$4&gt;=$Q21,$U21*(IF(AM$4&lt;=$S21,1,0)+IFERROR((DATEDIF($Q21,MIN(--AL$4,$S21),"M")+1),0)/IF($N21="Next mo.",1,IFERROR(DATEDIF(AM$4,$S21,"M")+1,1)))/(DATEDIF($Q21,$S21,"M")+1)-SUM($W21:AL21)/IF($N21="Next mo.",1,IFERROR(DATEDIF(AM$4,$S21,"M")+1,1)),0)</f>
        <v>0</v>
      </c>
      <c r="AN21" s="55">
        <f>IF(AN$4&gt;=$Q21,$U21*(IF(AN$4&lt;=$S21,1,0)+IFERROR((DATEDIF($Q21,MIN(--AM$4,$S21),"M")+1),0)/IF($N21="Next mo.",1,IFERROR(DATEDIF(AN$4,$S21,"M")+1,1)))/(DATEDIF($Q21,$S21,"M")+1)-SUM($W21:AM21)/IF($N21="Next mo.",1,IFERROR(DATEDIF(AN$4,$S21,"M")+1,1)),0)</f>
        <v>0</v>
      </c>
      <c r="AO21" s="55">
        <f>IF(AO$4&gt;=$Q21,$U21*(IF(AO$4&lt;=$S21,1,0)+IFERROR((DATEDIF($Q21,MIN(--AN$4,$S21),"M")+1),0)/IF($N21="Next mo.",1,IFERROR(DATEDIF(AO$4,$S21,"M")+1,1)))/(DATEDIF($Q21,$S21,"M")+1)-SUM($W21:AN21)/IF($N21="Next mo.",1,IFERROR(DATEDIF(AO$4,$S21,"M")+1,1)),0)</f>
        <v>0</v>
      </c>
      <c r="AP21" s="55">
        <f>IF(AP$4&gt;=$Q21,$U21*(IF(AP$4&lt;=$S21,1,0)+IFERROR((DATEDIF($Q21,MIN(--AO$4,$S21),"M")+1),0)/IF($N21="Next mo.",1,IFERROR(DATEDIF(AP$4,$S21,"M")+1,1)))/(DATEDIF($Q21,$S21,"M")+1)-SUM($W21:AO21)/IF($N21="Next mo.",1,IFERROR(DATEDIF(AP$4,$S21,"M")+1,1)),0)</f>
        <v>0</v>
      </c>
      <c r="AQ21" s="55">
        <f>IF(AQ$4&gt;=$Q21,$U21*(IF(AQ$4&lt;=$S21,1,0)+IFERROR((DATEDIF($Q21,MIN(--AP$4,$S21),"M")+1),0)/IF($N21="Next mo.",1,IFERROR(DATEDIF(AQ$4,$S21,"M")+1,1)))/(DATEDIF($Q21,$S21,"M")+1)-SUM($W21:AP21)/IF($N21="Next mo.",1,IFERROR(DATEDIF(AQ$4,$S21,"M")+1,1)),0)</f>
        <v>0</v>
      </c>
      <c r="AR21" s="55">
        <f>IF(AR$4&gt;=$Q21,$U21*(IF(AR$4&lt;=$S21,1,0)+IFERROR((DATEDIF($Q21,MIN(--AQ$4,$S21),"M")+1),0)/IF($N21="Next mo.",1,IFERROR(DATEDIF(AR$4,$S21,"M")+1,1)))/(DATEDIF($Q21,$S21,"M")+1)-SUM($W21:AQ21)/IF($N21="Next mo.",1,IFERROR(DATEDIF(AR$4,$S21,"M")+1,1)),0)</f>
        <v>0</v>
      </c>
      <c r="AS21" s="55">
        <f>IF(AS$4&gt;=$Q21,$U21*(IF(AS$4&lt;=$S21,1,0)+IFERROR((DATEDIF($Q21,MIN(--AR$4,$S21),"M")+1),0)/IF($N21="Next mo.",1,IFERROR(DATEDIF(AS$4,$S21,"M")+1,1)))/(DATEDIF($Q21,$S21,"M")+1)-SUM($W21:AR21)/IF($N21="Next mo.",1,IFERROR(DATEDIF(AS$4,$S21,"M")+1,1)),0)</f>
        <v>0</v>
      </c>
      <c r="AT21" s="55">
        <f>IF(AT$4&gt;=$Q21,$U21*(IF(AT$4&lt;=$S21,1,0)+IFERROR((DATEDIF($Q21,MIN(--AS$4,$S21),"M")+1),0)/IF($N21="Next mo.",1,IFERROR(DATEDIF(AT$4,$S21,"M")+1,1)))/(DATEDIF($Q21,$S21,"M")+1)-SUM($W21:AS21)/IF($N21="Next mo.",1,IFERROR(DATEDIF(AT$4,$S21,"M")+1,1)),0)</f>
        <v>0</v>
      </c>
      <c r="AU21" s="55">
        <f>IF(AU$4&gt;=$Q21,$U21*(IF(AU$4&lt;=$S21,1,0)+IFERROR((DATEDIF($Q21,MIN(--AT$4,$S21),"M")+1),0)/IF($N21="Next mo.",1,IFERROR(DATEDIF(AU$4,$S21,"M")+1,1)))/(DATEDIF($Q21,$S21,"M")+1)-SUM($W21:AT21)/IF($N21="Next mo.",1,IFERROR(DATEDIF(AU$4,$S21,"M")+1,1)),0)</f>
        <v>0</v>
      </c>
      <c r="AV21" s="55">
        <f>IF(AV$4&gt;=$Q21,$U21*(IF(AV$4&lt;=$S21,1,0)+IFERROR((DATEDIF($Q21,MIN(--AU$4,$S21),"M")+1),0)/IF($N21="Next mo.",1,IFERROR(DATEDIF(AV$4,$S21,"M")+1,1)))/(DATEDIF($Q21,$S21,"M")+1)-SUM($W21:AU21)/IF($N21="Next mo.",1,IFERROR(DATEDIF(AV$4,$S21,"M")+1,1)),0)</f>
        <v>0</v>
      </c>
      <c r="AW21" s="55">
        <f>IF(AW$4&gt;=$Q21,$U21*(IF(AW$4&lt;=$S21,1,0)+IFERROR((DATEDIF($Q21,MIN(--AV$4,$S21),"M")+1),0)/IF($N21="Next mo.",1,IFERROR(DATEDIF(AW$4,$S21,"M")+1,1)))/(DATEDIF($Q21,$S21,"M")+1)-SUM($W21:AV21)/IF($N21="Next mo.",1,IFERROR(DATEDIF(AW$4,$S21,"M")+1,1)),0)</f>
        <v>0</v>
      </c>
      <c r="AX21" s="55">
        <f>IF(AX$4&gt;=$Q21,$U21*(IF(AX$4&lt;=$S21,1,0)+IFERROR((DATEDIF($Q21,MIN(--AW$4,$S21),"M")+1),0)/IF($N21="Next mo.",1,IFERROR(DATEDIF(AX$4,$S21,"M")+1,1)))/(DATEDIF($Q21,$S21,"M")+1)-SUM($W21:AW21)/IF($N21="Next mo.",1,IFERROR(DATEDIF(AX$4,$S21,"M")+1,1)),0)</f>
        <v>0</v>
      </c>
      <c r="AY21" s="55">
        <f>IF(AY$4&gt;=$Q21,$U21*(IF(AY$4&lt;=$S21,1,0)+IFERROR((DATEDIF($Q21,MIN(--AX$4,$S21),"M")+1),0)/IF($N21="Next mo.",1,IFERROR(DATEDIF(AY$4,$S21,"M")+1,1)))/(DATEDIF($Q21,$S21,"M")+1)-SUM($W21:AX21)/IF($N21="Next mo.",1,IFERROR(DATEDIF(AY$4,$S21,"M")+1,1)),0)</f>
        <v>0</v>
      </c>
      <c r="AZ21" s="55">
        <f>IF(AZ$4&gt;=$Q21,$U21*(IF(AZ$4&lt;=$S21,1,0)+IFERROR((DATEDIF($Q21,MIN(--AY$4,$S21),"M")+1),0)/IF($N21="Next mo.",1,IFERROR(DATEDIF(AZ$4,$S21,"M")+1,1)))/(DATEDIF($Q21,$S21,"M")+1)-SUM($W21:AY21)/IF($N21="Next mo.",1,IFERROR(DATEDIF(AZ$4,$S21,"M")+1,1)),0)</f>
        <v>0</v>
      </c>
      <c r="BA21" s="55">
        <f>IF(BA$4&gt;=$Q21,$U21*(IF(BA$4&lt;=$S21,1,0)+IFERROR((DATEDIF($Q21,MIN(--AZ$4,$S21),"M")+1),0)/IF($N21="Next mo.",1,IFERROR(DATEDIF(BA$4,$S21,"M")+1,1)))/(DATEDIF($Q21,$S21,"M")+1)-SUM($W21:AZ21)/IF($N21="Next mo.",1,IFERROR(DATEDIF(BA$4,$S21,"M")+1,1)),0)</f>
        <v>0</v>
      </c>
      <c r="BB21" s="55">
        <f>IF(BB$4&gt;=$Q21,$U21*(IF(BB$4&lt;=$S21,1,0)+IFERROR((DATEDIF($Q21,MIN(--BA$4,$S21),"M")+1),0)/IF($N21="Next mo.",1,IFERROR(DATEDIF(BB$4,$S21,"M")+1,1)))/(DATEDIF($Q21,$S21,"M")+1)-SUM($W21:BA21)/IF($N21="Next mo.",1,IFERROR(DATEDIF(BB$4,$S21,"M")+1,1)),0)</f>
        <v>0</v>
      </c>
      <c r="BC21" s="55">
        <f>IF(BC$4&gt;=$Q21,$U21*(IF(BC$4&lt;=$S21,1,0)+IFERROR((DATEDIF($Q21,MIN(--BB$4,$S21),"M")+1),0)/IF($N21="Next mo.",1,IFERROR(DATEDIF(BC$4,$S21,"M")+1,1)))/(DATEDIF($Q21,$S21,"M")+1)-SUM($W21:BB21)/IF($N21="Next mo.",1,IFERROR(DATEDIF(BC$4,$S21,"M")+1,1)),0)</f>
        <v>0</v>
      </c>
      <c r="BD21" s="55">
        <f>IF(BD$4&gt;=$Q21,$U21*(IF(BD$4&lt;=$S21,1,0)+IFERROR((DATEDIF($Q21,MIN(--BC$4,$S21),"M")+1),0)/IF($N21="Next mo.",1,IFERROR(DATEDIF(BD$4,$S21,"M")+1,1)))/(DATEDIF($Q21,$S21,"M")+1)-SUM($W21:BC21)/IF($N21="Next mo.",1,IFERROR(DATEDIF(BD$4,$S21,"M")+1,1)),0)</f>
        <v>0</v>
      </c>
      <c r="BE21" s="55">
        <f>IF(BE$4&gt;=$Q21,$U21*(IF(BE$4&lt;=$S21,1,0)+IFERROR((DATEDIF($Q21,MIN(--BD$4,$S21),"M")+1),0)/IF($N21="Next mo.",1,IFERROR(DATEDIF(BE$4,$S21,"M")+1,1)))/(DATEDIF($Q21,$S21,"M")+1)-SUM($W21:BD21)/IF($N21="Next mo.",1,IFERROR(DATEDIF(BE$4,$S21,"M")+1,1)),0)</f>
        <v>0</v>
      </c>
      <c r="BF21" s="55">
        <f>IF(BF$4&gt;=$Q21,$U21*(IF(BF$4&lt;=$S21,1,0)+IFERROR((DATEDIF($Q21,MIN(--BE$4,$S21),"M")+1),0)/IF($N21="Next mo.",1,IFERROR(DATEDIF(BF$4,$S21,"M")+1,1)))/(DATEDIF($Q21,$S21,"M")+1)-SUM($W21:BE21)/IF($N21="Next mo.",1,IFERROR(DATEDIF(BF$4,$S21,"M")+1,1)),0)</f>
        <v>0</v>
      </c>
      <c r="BG21" s="55">
        <f>IF(BG$4&gt;=$Q21,$U21*(IF(BG$4&lt;=$S21,1,0)+IFERROR((DATEDIF($Q21,MIN(--BF$4,$S21),"M")+1),0)/IF($N21="Next mo.",1,IFERROR(DATEDIF(BG$4,$S21,"M")+1,1)))/(DATEDIF($Q21,$S21,"M")+1)-SUM($W21:BF21)/IF($N21="Next mo.",1,IFERROR(DATEDIF(BG$4,$S21,"M")+1,1)),0)</f>
        <v>0</v>
      </c>
      <c r="BH21" s="55">
        <f>IF(BH$4&gt;=$Q21,$U21*(IF(BH$4&lt;=$S21,1,0)+IFERROR((DATEDIF($Q21,MIN(--BG$4,$S21),"M")+1),0)/IF($N21="Next mo.",1,IFERROR(DATEDIF(BH$4,$S21,"M")+1,1)))/(DATEDIF($Q21,$S21,"M")+1)-SUM($W21:BG21)/IF($N21="Next mo.",1,IFERROR(DATEDIF(BH$4,$S21,"M")+1,1)),0)</f>
        <v>0</v>
      </c>
      <c r="BI21" s="55">
        <f>IF(BI$4&gt;=$Q21,$U21*(IF(BI$4&lt;=$S21,1,0)+IFERROR((DATEDIF($Q21,MIN(--BH$4,$S21),"M")+1),0)/IF($N21="Next mo.",1,IFERROR(DATEDIF(BI$4,$S21,"M")+1,1)))/(DATEDIF($Q21,$S21,"M")+1)-SUM($W21:BH21)/IF($N21="Next mo.",1,IFERROR(DATEDIF(BI$4,$S21,"M")+1,1)),0)</f>
        <v>0</v>
      </c>
      <c r="BJ21" s="55">
        <f>IF(BJ$4&gt;=$Q21,$U21*(IF(BJ$4&lt;=$S21,1,0)+IFERROR((DATEDIF($Q21,MIN(--BI$4,$S21),"M")+1),0)/IF($N21="Next mo.",1,IFERROR(DATEDIF(BJ$4,$S21,"M")+1,1)))/(DATEDIF($Q21,$S21,"M")+1)-SUM($W21:BI21)/IF($N21="Next mo.",1,IFERROR(DATEDIF(BJ$4,$S21,"M")+1,1)),0)</f>
        <v>0</v>
      </c>
      <c r="BK21" s="55">
        <f>IF(BK$4&gt;=$Q21,$U21*(IF(BK$4&lt;=$S21,1,0)+IFERROR((DATEDIF($Q21,MIN(--BJ$4,$S21),"M")+1),0)/IF($N21="Next mo.",1,IFERROR(DATEDIF(BK$4,$S21,"M")+1,1)))/(DATEDIF($Q21,$S21,"M")+1)-SUM($W21:BJ21)/IF($N21="Next mo.",1,IFERROR(DATEDIF(BK$4,$S21,"M")+1,1)),0)</f>
        <v>0</v>
      </c>
      <c r="BL21" s="55">
        <f>IF(BL$4&gt;=$Q21,$U21*(IF(BL$4&lt;=$S21,1,0)+IFERROR((DATEDIF($Q21,MIN(--BK$4,$S21),"M")+1),0)/IF($N21="Next mo.",1,IFERROR(DATEDIF(BL$4,$S21,"M")+1,1)))/(DATEDIF($Q21,$S21,"M")+1)-SUM($W21:BK21)/IF($N21="Next mo.",1,IFERROR(DATEDIF(BL$4,$S21,"M")+1,1)),0)</f>
        <v>0</v>
      </c>
      <c r="BM21" s="55">
        <f>IF(BM$4&gt;=$Q21,$U21*(IF(BM$4&lt;=$S21,1,0)+IFERROR((DATEDIF($Q21,MIN(--BL$4,$S21),"M")+1),0)/IF($N21="Next mo.",1,IFERROR(DATEDIF(BM$4,$S21,"M")+1,1)))/(DATEDIF($Q21,$S21,"M")+1)-SUM($W21:BL21)/IF($N21="Next mo.",1,IFERROR(DATEDIF(BM$4,$S21,"M")+1,1)),0)</f>
        <v>0</v>
      </c>
      <c r="BN21" s="55">
        <f>IF(BN$4&gt;=$Q21,$U21*(IF(BN$4&lt;=$S21,1,0)+IFERROR((DATEDIF($Q21,MIN(--BM$4,$S21),"M")+1),0)/IF($N21="Next mo.",1,IFERROR(DATEDIF(BN$4,$S21,"M")+1,1)))/(DATEDIF($Q21,$S21,"M")+1)-SUM($W21:BM21)/IF($N21="Next mo.",1,IFERROR(DATEDIF(BN$4,$S21,"M")+1,1)),0)</f>
        <v>0</v>
      </c>
      <c r="BO21" s="55">
        <f>IF(BO$4&gt;=$Q21,$U21*(IF(BO$4&lt;=$S21,1,0)+IFERROR((DATEDIF($Q21,MIN(--BN$4,$S21),"M")+1),0)/IF($N21="Next mo.",1,IFERROR(DATEDIF(BO$4,$S21,"M")+1,1)))/(DATEDIF($Q21,$S21,"M")+1)-SUM($W21:BN21)/IF($N21="Next mo.",1,IFERROR(DATEDIF(BO$4,$S21,"M")+1,1)),0)</f>
        <v>0</v>
      </c>
      <c r="BP21" s="55">
        <f>IF(BP$4&gt;=$Q21,$U21*(IF(BP$4&lt;=$S21,1,0)+IFERROR((DATEDIF($Q21,MIN(--BO$4,$S21),"M")+1),0)/IF($N21="Next mo.",1,IFERROR(DATEDIF(BP$4,$S21,"M")+1,1)))/(DATEDIF($Q21,$S21,"M")+1)-SUM($W21:BO21)/IF($N21="Next mo.",1,IFERROR(DATEDIF(BP$4,$S21,"M")+1,1)),0)</f>
        <v>0</v>
      </c>
      <c r="BQ21" s="55">
        <f>IF(BQ$4&gt;=$Q21,$U21*(IF(BQ$4&lt;=$S21,1,0)+IFERROR((DATEDIF($Q21,MIN(--BP$4,$S21),"M")+1),0)/IF($N21="Next mo.",1,IFERROR(DATEDIF(BQ$4,$S21,"M")+1,1)))/(DATEDIF($Q21,$S21,"M")+1)-SUM($W21:BP21)/IF($N21="Next mo.",1,IFERROR(DATEDIF(BQ$4,$S21,"M")+1,1)),0)</f>
        <v>0</v>
      </c>
      <c r="BR21" s="55">
        <f>IF(BR$4&gt;=$Q21,$U21*(IF(BR$4&lt;=$S21,1,0)+IFERROR((DATEDIF($Q21,MIN(--BQ$4,$S21),"M")+1),0)/IF($N21="Next mo.",1,IFERROR(DATEDIF(BR$4,$S21,"M")+1,1)))/(DATEDIF($Q21,$S21,"M")+1)-SUM($W21:BQ21)/IF($N21="Next mo.",1,IFERROR(DATEDIF(BR$4,$S21,"M")+1,1)),0)</f>
        <v>0</v>
      </c>
      <c r="BS21" s="55">
        <f>IF(BS$4&gt;=$Q21,$U21*(IF(BS$4&lt;=$S21,1,0)+IFERROR((DATEDIF($Q21,MIN(--BR$4,$S21),"M")+1),0)/IF($N21="Next mo.",1,IFERROR(DATEDIF(BS$4,$S21,"M")+1,1)))/(DATEDIF($Q21,$S21,"M")+1)-SUM($W21:BR21)/IF($N21="Next mo.",1,IFERROR(DATEDIF(BS$4,$S21,"M")+1,1)),0)</f>
        <v>0</v>
      </c>
    </row>
    <row r="22" spans="1:71" s="38" customFormat="1" x14ac:dyDescent="0.2">
      <c r="A22" s="43" t="s">
        <v>41</v>
      </c>
      <c r="B22" s="38" t="s">
        <v>63</v>
      </c>
      <c r="C22" s="75"/>
      <c r="D22" s="75"/>
      <c r="G22" s="57" t="str">
        <f>"Total "&amp;G20</f>
        <v>Total R&amp;D Expenses</v>
      </c>
      <c r="I22" s="76"/>
      <c r="T22" s="77"/>
      <c r="V22" s="59">
        <f ca="1">SUM(X22:BS22)</f>
        <v>500000</v>
      </c>
      <c r="W22" s="57"/>
      <c r="X22" s="60">
        <f ca="1">SUBTOTAL(9,OFFSET(X20,1,0):OFFSET(X22,-1,0))</f>
        <v>0</v>
      </c>
      <c r="Y22" s="60">
        <f ca="1">SUBTOTAL(9,OFFSET(Y20,1,0):OFFSET(Y22,-1,0))</f>
        <v>83333.333333333328</v>
      </c>
      <c r="Z22" s="60">
        <f ca="1">SUBTOTAL(9,OFFSET(Z20,1,0):OFFSET(Z22,-1,0))</f>
        <v>83333.333333333343</v>
      </c>
      <c r="AA22" s="60">
        <f ca="1">SUBTOTAL(9,OFFSET(AA20,1,0):OFFSET(AA22,-1,0))</f>
        <v>83333.333333333328</v>
      </c>
      <c r="AB22" s="60">
        <f ca="1">SUBTOTAL(9,OFFSET(AB20,1,0):OFFSET(AB22,-1,0))</f>
        <v>83333.333333333328</v>
      </c>
      <c r="AC22" s="60">
        <f ca="1">SUBTOTAL(9,OFFSET(AC20,1,0):OFFSET(AC22,-1,0))</f>
        <v>83333.333333333343</v>
      </c>
      <c r="AD22" s="60">
        <f ca="1">SUBTOTAL(9,OFFSET(AD20,1,0):OFFSET(AD22,-1,0))</f>
        <v>83333.333333333372</v>
      </c>
      <c r="AE22" s="60">
        <f ca="1">SUBTOTAL(9,OFFSET(AE20,1,0):OFFSET(AE22,-1,0))</f>
        <v>0</v>
      </c>
      <c r="AF22" s="60">
        <f ca="1">SUBTOTAL(9,OFFSET(AF20,1,0):OFFSET(AF22,-1,0))</f>
        <v>0</v>
      </c>
      <c r="AG22" s="60">
        <f ca="1">SUBTOTAL(9,OFFSET(AG20,1,0):OFFSET(AG22,-1,0))</f>
        <v>0</v>
      </c>
      <c r="AH22" s="60">
        <f ca="1">SUBTOTAL(9,OFFSET(AH20,1,0):OFFSET(AH22,-1,0))</f>
        <v>0</v>
      </c>
      <c r="AI22" s="60">
        <f ca="1">SUBTOTAL(9,OFFSET(AI20,1,0):OFFSET(AI22,-1,0))</f>
        <v>0</v>
      </c>
      <c r="AJ22" s="60">
        <f ca="1">SUBTOTAL(9,OFFSET(AJ20,1,0):OFFSET(AJ22,-1,0))</f>
        <v>0</v>
      </c>
      <c r="AK22" s="60">
        <f ca="1">SUBTOTAL(9,OFFSET(AK20,1,0):OFFSET(AK22,-1,0))</f>
        <v>0</v>
      </c>
      <c r="AL22" s="60">
        <f ca="1">SUBTOTAL(9,OFFSET(AL20,1,0):OFFSET(AL22,-1,0))</f>
        <v>0</v>
      </c>
      <c r="AM22" s="60">
        <f ca="1">SUBTOTAL(9,OFFSET(AM20,1,0):OFFSET(AM22,-1,0))</f>
        <v>0</v>
      </c>
      <c r="AN22" s="60">
        <f ca="1">SUBTOTAL(9,OFFSET(AN20,1,0):OFFSET(AN22,-1,0))</f>
        <v>0</v>
      </c>
      <c r="AO22" s="60">
        <f ca="1">SUBTOTAL(9,OFFSET(AO20,1,0):OFFSET(AO22,-1,0))</f>
        <v>0</v>
      </c>
      <c r="AP22" s="60">
        <f ca="1">SUBTOTAL(9,OFFSET(AP20,1,0):OFFSET(AP22,-1,0))</f>
        <v>0</v>
      </c>
      <c r="AQ22" s="60">
        <f ca="1">SUBTOTAL(9,OFFSET(AQ20,1,0):OFFSET(AQ22,-1,0))</f>
        <v>0</v>
      </c>
      <c r="AR22" s="60">
        <f ca="1">SUBTOTAL(9,OFFSET(AR20,1,0):OFFSET(AR22,-1,0))</f>
        <v>0</v>
      </c>
      <c r="AS22" s="60">
        <f ca="1">SUBTOTAL(9,OFFSET(AS20,1,0):OFFSET(AS22,-1,0))</f>
        <v>0</v>
      </c>
      <c r="AT22" s="60">
        <f ca="1">SUBTOTAL(9,OFFSET(AT20,1,0):OFFSET(AT22,-1,0))</f>
        <v>0</v>
      </c>
      <c r="AU22" s="60">
        <f ca="1">SUBTOTAL(9,OFFSET(AU20,1,0):OFFSET(AU22,-1,0))</f>
        <v>0</v>
      </c>
      <c r="AV22" s="60">
        <f ca="1">SUBTOTAL(9,OFFSET(AV20,1,0):OFFSET(AV22,-1,0))</f>
        <v>0</v>
      </c>
      <c r="AW22" s="60">
        <f ca="1">SUBTOTAL(9,OFFSET(AW20,1,0):OFFSET(AW22,-1,0))</f>
        <v>0</v>
      </c>
      <c r="AX22" s="60">
        <f ca="1">SUBTOTAL(9,OFFSET(AX20,1,0):OFFSET(AX22,-1,0))</f>
        <v>0</v>
      </c>
      <c r="AY22" s="60">
        <f ca="1">SUBTOTAL(9,OFFSET(AY20,1,0):OFFSET(AY22,-1,0))</f>
        <v>0</v>
      </c>
      <c r="AZ22" s="60">
        <f ca="1">SUBTOTAL(9,OFFSET(AZ20,1,0):OFFSET(AZ22,-1,0))</f>
        <v>0</v>
      </c>
      <c r="BA22" s="60">
        <f ca="1">SUBTOTAL(9,OFFSET(BA20,1,0):OFFSET(BA22,-1,0))</f>
        <v>0</v>
      </c>
      <c r="BB22" s="60">
        <f ca="1">SUBTOTAL(9,OFFSET(BB20,1,0):OFFSET(BB22,-1,0))</f>
        <v>0</v>
      </c>
      <c r="BC22" s="60">
        <f ca="1">SUBTOTAL(9,OFFSET(BC20,1,0):OFFSET(BC22,-1,0))</f>
        <v>0</v>
      </c>
      <c r="BD22" s="60">
        <f ca="1">SUBTOTAL(9,OFFSET(BD20,1,0):OFFSET(BD22,-1,0))</f>
        <v>0</v>
      </c>
      <c r="BE22" s="60">
        <f ca="1">SUBTOTAL(9,OFFSET(BE20,1,0):OFFSET(BE22,-1,0))</f>
        <v>0</v>
      </c>
      <c r="BF22" s="60">
        <f ca="1">SUBTOTAL(9,OFFSET(BF20,1,0):OFFSET(BF22,-1,0))</f>
        <v>0</v>
      </c>
      <c r="BG22" s="60">
        <f ca="1">SUBTOTAL(9,OFFSET(BG20,1,0):OFFSET(BG22,-1,0))</f>
        <v>0</v>
      </c>
      <c r="BH22" s="60">
        <f ca="1">SUBTOTAL(9,OFFSET(BH20,1,0):OFFSET(BH22,-1,0))</f>
        <v>0</v>
      </c>
      <c r="BI22" s="60">
        <f ca="1">SUBTOTAL(9,OFFSET(BI20,1,0):OFFSET(BI22,-1,0))</f>
        <v>0</v>
      </c>
      <c r="BJ22" s="60">
        <f ca="1">SUBTOTAL(9,OFFSET(BJ20,1,0):OFFSET(BJ22,-1,0))</f>
        <v>0</v>
      </c>
      <c r="BK22" s="60">
        <f ca="1">SUBTOTAL(9,OFFSET(BK20,1,0):OFFSET(BK22,-1,0))</f>
        <v>0</v>
      </c>
      <c r="BL22" s="60">
        <f ca="1">SUBTOTAL(9,OFFSET(BL20,1,0):OFFSET(BL22,-1,0))</f>
        <v>0</v>
      </c>
      <c r="BM22" s="60">
        <f ca="1">SUBTOTAL(9,OFFSET(BM20,1,0):OFFSET(BM22,-1,0))</f>
        <v>0</v>
      </c>
      <c r="BN22" s="60">
        <f ca="1">SUBTOTAL(9,OFFSET(BN20,1,0):OFFSET(BN22,-1,0))</f>
        <v>0</v>
      </c>
      <c r="BO22" s="60">
        <f ca="1">SUBTOTAL(9,OFFSET(BO20,1,0):OFFSET(BO22,-1,0))</f>
        <v>0</v>
      </c>
      <c r="BP22" s="60">
        <f ca="1">SUBTOTAL(9,OFFSET(BP20,1,0):OFFSET(BP22,-1,0))</f>
        <v>0</v>
      </c>
      <c r="BQ22" s="60">
        <f ca="1">SUBTOTAL(9,OFFSET(BQ20,1,0):OFFSET(BQ22,-1,0))</f>
        <v>0</v>
      </c>
      <c r="BR22" s="60">
        <f ca="1">SUBTOTAL(9,OFFSET(BR20,1,0):OFFSET(BR22,-1,0))</f>
        <v>0</v>
      </c>
      <c r="BS22" s="60">
        <f ca="1">SUBTOTAL(9,OFFSET(BS20,1,0):OFFSET(BS22,-1,0))</f>
        <v>0</v>
      </c>
    </row>
    <row r="23" spans="1:71" x14ac:dyDescent="0.2">
      <c r="C23" s="61"/>
      <c r="D23" s="61"/>
      <c r="P23" s="38"/>
      <c r="R23" s="38"/>
      <c r="T23" s="77"/>
      <c r="V23" s="69"/>
      <c r="X23" s="78"/>
      <c r="Y23" s="78"/>
      <c r="Z23" s="78"/>
      <c r="AA23" s="78"/>
      <c r="AB23" s="78"/>
      <c r="AC23" s="78"/>
      <c r="AD23" s="78"/>
      <c r="AE23" s="78"/>
      <c r="AF23" s="78"/>
      <c r="AG23" s="78"/>
      <c r="AH23" s="78"/>
      <c r="AI23" s="78"/>
      <c r="AJ23" s="78"/>
      <c r="AK23" s="78"/>
      <c r="AL23" s="78"/>
      <c r="AM23" s="78"/>
      <c r="AN23" s="78"/>
      <c r="AO23" s="78"/>
      <c r="AP23" s="78"/>
      <c r="AQ23" s="78"/>
      <c r="AR23" s="78"/>
      <c r="AS23" s="78"/>
      <c r="AT23" s="78"/>
      <c r="AU23" s="78"/>
      <c r="AV23" s="78"/>
      <c r="AW23" s="78"/>
    </row>
    <row r="24" spans="1:71" x14ac:dyDescent="0.2">
      <c r="A24" s="36" t="s">
        <v>39</v>
      </c>
      <c r="C24" s="61"/>
      <c r="D24" s="61"/>
      <c r="G24" s="38" t="s">
        <v>64</v>
      </c>
      <c r="P24" s="38"/>
      <c r="R24" s="38"/>
      <c r="T24" s="77"/>
      <c r="V24" s="69"/>
      <c r="X24" s="78"/>
      <c r="Y24" s="78"/>
      <c r="Z24" s="78"/>
      <c r="AA24" s="78"/>
      <c r="AB24" s="78"/>
      <c r="AC24" s="78"/>
      <c r="AD24" s="78"/>
      <c r="AE24" s="78"/>
      <c r="AF24" s="78"/>
      <c r="AG24" s="78"/>
      <c r="AH24" s="78"/>
      <c r="AI24" s="78"/>
      <c r="AJ24" s="78"/>
      <c r="AK24" s="78"/>
      <c r="AL24" s="78"/>
      <c r="AM24" s="78"/>
      <c r="AN24" s="78"/>
      <c r="AO24" s="78"/>
      <c r="AP24" s="78"/>
      <c r="AQ24" s="78"/>
      <c r="AR24" s="78"/>
      <c r="AS24" s="78"/>
      <c r="AT24" s="78"/>
      <c r="AU24" s="78"/>
      <c r="AV24" s="78"/>
      <c r="AW24" s="78"/>
      <c r="AX24" s="78"/>
      <c r="AY24" s="78"/>
      <c r="AZ24" s="78"/>
      <c r="BA24" s="78"/>
      <c r="BB24" s="78"/>
      <c r="BC24" s="78"/>
      <c r="BD24" s="78"/>
      <c r="BE24" s="78"/>
      <c r="BF24" s="78"/>
      <c r="BG24" s="78"/>
      <c r="BH24" s="78"/>
      <c r="BI24" s="78"/>
      <c r="BJ24" s="78"/>
      <c r="BK24" s="78"/>
      <c r="BL24" s="78"/>
      <c r="BM24" s="78"/>
      <c r="BN24" s="78"/>
      <c r="BO24" s="78"/>
      <c r="BP24" s="78"/>
      <c r="BQ24" s="78"/>
      <c r="BR24" s="78"/>
      <c r="BS24" s="78"/>
    </row>
    <row r="25" spans="1:71" x14ac:dyDescent="0.2">
      <c r="A25" s="36" t="s">
        <v>41</v>
      </c>
      <c r="B25" s="37" t="s">
        <v>65</v>
      </c>
      <c r="C25" s="48">
        <v>0.19</v>
      </c>
      <c r="D25" s="70" t="s">
        <v>50</v>
      </c>
      <c r="E25" s="53"/>
      <c r="G25" s="37" t="s">
        <v>66</v>
      </c>
      <c r="L25" s="77" t="s">
        <v>67</v>
      </c>
      <c r="M25" s="71">
        <v>-2</v>
      </c>
      <c r="N25" s="79" t="s">
        <v>68</v>
      </c>
      <c r="O25" s="80">
        <v>0.25</v>
      </c>
      <c r="P25" s="77" t="s">
        <v>55</v>
      </c>
      <c r="Q25" s="53">
        <f>EDATE(Gaussian_Start,0)</f>
        <v>44317</v>
      </c>
      <c r="R25" s="77" t="s">
        <v>56</v>
      </c>
      <c r="S25" s="53">
        <f>EDATE($S$17,0)</f>
        <v>44927</v>
      </c>
      <c r="T25" s="77" t="s">
        <v>57</v>
      </c>
      <c r="U25" s="52">
        <v>750000</v>
      </c>
      <c r="V25" s="81">
        <f>SUM(X25:BS25)</f>
        <v>750000.00000000012</v>
      </c>
      <c r="X25" s="68">
        <f>IF(AND(X$4&gt;=$Q25,X$4&lt;=$S25),MAX(IFERROR(($U25/(1+EXP(-$O25*((DATEDIF($Q25,X$4,"M")+1)-(DATEDIF($Q25,$S25,"M")+1)/2-$M25)))-$U25/(1+EXP(-$O25*((DATEDIF($Q25,X$4,"M"))-(DATEDIF($Q25,$S25,"M")+1)/2-$M25))))/(1/(1+EXP(-$O25*((DATEDIF($Q25,$S25,"M")+1)-(DATEDIF($Q25,$S25,"M")+1)/2-$M25)))-1/(1+EXP(-$O25*(-(DATEDIF($Q25,$S25,"M")+1)/2-$M25)))),0)+IFERROR(($U25/(1+EXP(-$O25*((DATEDIF($Q25,W$4,"M")+1)-(DATEDIF($Q25,$S25,"M")+1)/2-$M25)))-$U25/(1+EXP(-$O25*(-(DATEDIF($Q25,$S25,"M")+1)/2-$M25))))/(1/(1+EXP(-$O25*((DATEDIF($Q25,$S25,"M")+1)-(DATEDIF($Q25,$S25,"M")+1)/2-$M25)))-1/(1+EXP(-$O25*(-(DATEDIF($Q25,$S25,"M")+1)/2-$M25)))),0)-SUM($W25:W25),0),0)</f>
        <v>0</v>
      </c>
      <c r="Y25" s="68">
        <f>IF(AND(Y$4&gt;=$Q25,Y$4&lt;=$S25),MAX(IFERROR(($U25/(1+EXP(-$O25*((DATEDIF($Q25,Y$4,"M")+1)-(DATEDIF($Q25,$S25,"M")+1)/2-$M25)))-$U25/(1+EXP(-$O25*((DATEDIF($Q25,Y$4,"M"))-(DATEDIF($Q25,$S25,"M")+1)/2-$M25))))/(1/(1+EXP(-$O25*((DATEDIF($Q25,$S25,"M")+1)-(DATEDIF($Q25,$S25,"M")+1)/2-$M25)))-1/(1+EXP(-$O25*(-(DATEDIF($Q25,$S25,"M")+1)/2-$M25)))),0)+IFERROR(($U25/(1+EXP(-$O25*((DATEDIF($Q25,X$4,"M")+1)-(DATEDIF($Q25,$S25,"M")+1)/2-$M25)))-$U25/(1+EXP(-$O25*(-(DATEDIF($Q25,$S25,"M")+1)/2-$M25))))/(1/(1+EXP(-$O25*((DATEDIF($Q25,$S25,"M")+1)-(DATEDIF($Q25,$S25,"M")+1)/2-$M25)))-1/(1+EXP(-$O25*(-(DATEDIF($Q25,$S25,"M")+1)/2-$M25)))),0)-SUM($W25:X25),0),0)</f>
        <v>0</v>
      </c>
      <c r="Z25" s="68">
        <f>IF(AND(Z$4&gt;=$Q25,Z$4&lt;=$S25),MAX(IFERROR(($U25/(1+EXP(-$O25*((DATEDIF($Q25,Z$4,"M")+1)-(DATEDIF($Q25,$S25,"M")+1)/2-$M25)))-$U25/(1+EXP(-$O25*((DATEDIF($Q25,Z$4,"M"))-(DATEDIF($Q25,$S25,"M")+1)/2-$M25))))/(1/(1+EXP(-$O25*((DATEDIF($Q25,$S25,"M")+1)-(DATEDIF($Q25,$S25,"M")+1)/2-$M25)))-1/(1+EXP(-$O25*(-(DATEDIF($Q25,$S25,"M")+1)/2-$M25)))),0)+IFERROR(($U25/(1+EXP(-$O25*((DATEDIF($Q25,Y$4,"M")+1)-(DATEDIF($Q25,$S25,"M")+1)/2-$M25)))-$U25/(1+EXP(-$O25*(-(DATEDIF($Q25,$S25,"M")+1)/2-$M25))))/(1/(1+EXP(-$O25*((DATEDIF($Q25,$S25,"M")+1)-(DATEDIF($Q25,$S25,"M")+1)/2-$M25)))-1/(1+EXP(-$O25*(-(DATEDIF($Q25,$S25,"M")+1)/2-$M25)))),0)-SUM($W25:Y25),0),0)</f>
        <v>0</v>
      </c>
      <c r="AA25" s="68">
        <f>IF(AND(AA$4&gt;=$Q25,AA$4&lt;=$S25),MAX(IFERROR(($U25/(1+EXP(-$O25*((DATEDIF($Q25,AA$4,"M")+1)-(DATEDIF($Q25,$S25,"M")+1)/2-$M25)))-$U25/(1+EXP(-$O25*((DATEDIF($Q25,AA$4,"M"))-(DATEDIF($Q25,$S25,"M")+1)/2-$M25))))/(1/(1+EXP(-$O25*((DATEDIF($Q25,$S25,"M")+1)-(DATEDIF($Q25,$S25,"M")+1)/2-$M25)))-1/(1+EXP(-$O25*(-(DATEDIF($Q25,$S25,"M")+1)/2-$M25)))),0)+IFERROR(($U25/(1+EXP(-$O25*((DATEDIF($Q25,Z$4,"M")+1)-(DATEDIF($Q25,$S25,"M")+1)/2-$M25)))-$U25/(1+EXP(-$O25*(-(DATEDIF($Q25,$S25,"M")+1)/2-$M25))))/(1/(1+EXP(-$O25*((DATEDIF($Q25,$S25,"M")+1)-(DATEDIF($Q25,$S25,"M")+1)/2-$M25)))-1/(1+EXP(-$O25*(-(DATEDIF($Q25,$S25,"M")+1)/2-$M25)))),0)-SUM($W25:Z25),0),0)</f>
        <v>0</v>
      </c>
      <c r="AB25" s="68">
        <f>IF(AND(AB$4&gt;=$Q25,AB$4&lt;=$S25),MAX(IFERROR(($U25/(1+EXP(-$O25*((DATEDIF($Q25,AB$4,"M")+1)-(DATEDIF($Q25,$S25,"M")+1)/2-$M25)))-$U25/(1+EXP(-$O25*((DATEDIF($Q25,AB$4,"M"))-(DATEDIF($Q25,$S25,"M")+1)/2-$M25))))/(1/(1+EXP(-$O25*((DATEDIF($Q25,$S25,"M")+1)-(DATEDIF($Q25,$S25,"M")+1)/2-$M25)))-1/(1+EXP(-$O25*(-(DATEDIF($Q25,$S25,"M")+1)/2-$M25)))),0)+IFERROR(($U25/(1+EXP(-$O25*((DATEDIF($Q25,AA$4,"M")+1)-(DATEDIF($Q25,$S25,"M")+1)/2-$M25)))-$U25/(1+EXP(-$O25*(-(DATEDIF($Q25,$S25,"M")+1)/2-$M25))))/(1/(1+EXP(-$O25*((DATEDIF($Q25,$S25,"M")+1)-(DATEDIF($Q25,$S25,"M")+1)/2-$M25)))-1/(1+EXP(-$O25*(-(DATEDIF($Q25,$S25,"M")+1)/2-$M25)))),0)-SUM($W25:AA25),0),0)</f>
        <v>23149.357206480887</v>
      </c>
      <c r="AC25" s="68">
        <f>IF(AND(AC$4&gt;=$Q25,AC$4&lt;=$S25),MAX(IFERROR(($U25/(1+EXP(-$O25*((DATEDIF($Q25,AC$4,"M")+1)-(DATEDIF($Q25,$S25,"M")+1)/2-$M25)))-$U25/(1+EXP(-$O25*((DATEDIF($Q25,AC$4,"M"))-(DATEDIF($Q25,$S25,"M")+1)/2-$M25))))/(1/(1+EXP(-$O25*((DATEDIF($Q25,$S25,"M")+1)-(DATEDIF($Q25,$S25,"M")+1)/2-$M25)))-1/(1+EXP(-$O25*(-(DATEDIF($Q25,$S25,"M")+1)/2-$M25)))),0)+IFERROR(($U25/(1+EXP(-$O25*((DATEDIF($Q25,AB$4,"M")+1)-(DATEDIF($Q25,$S25,"M")+1)/2-$M25)))-$U25/(1+EXP(-$O25*(-(DATEDIF($Q25,$S25,"M")+1)/2-$M25))))/(1/(1+EXP(-$O25*((DATEDIF($Q25,$S25,"M")+1)-(DATEDIF($Q25,$S25,"M")+1)/2-$M25)))-1/(1+EXP(-$O25*(-(DATEDIF($Q25,$S25,"M")+1)/2-$M25)))),0)-SUM($W25:AB25),0),0)</f>
        <v>27800.240092327262</v>
      </c>
      <c r="AD25" s="68">
        <f>IF(AND(AD$4&gt;=$Q25,AD$4&lt;=$S25),MAX(IFERROR(($U25/(1+EXP(-$O25*((DATEDIF($Q25,AD$4,"M")+1)-(DATEDIF($Q25,$S25,"M")+1)/2-$M25)))-$U25/(1+EXP(-$O25*((DATEDIF($Q25,AD$4,"M"))-(DATEDIF($Q25,$S25,"M")+1)/2-$M25))))/(1/(1+EXP(-$O25*((DATEDIF($Q25,$S25,"M")+1)-(DATEDIF($Q25,$S25,"M")+1)/2-$M25)))-1/(1+EXP(-$O25*(-(DATEDIF($Q25,$S25,"M")+1)/2-$M25)))),0)+IFERROR(($U25/(1+EXP(-$O25*((DATEDIF($Q25,AC$4,"M")+1)-(DATEDIF($Q25,$S25,"M")+1)/2-$M25)))-$U25/(1+EXP(-$O25*(-(DATEDIF($Q25,$S25,"M")+1)/2-$M25))))/(1/(1+EXP(-$O25*((DATEDIF($Q25,$S25,"M")+1)-(DATEDIF($Q25,$S25,"M")+1)/2-$M25)))-1/(1+EXP(-$O25*(-(DATEDIF($Q25,$S25,"M")+1)/2-$M25)))),0)-SUM($W25:AC25),0),0)</f>
        <v>32861.674275056328</v>
      </c>
      <c r="AE25" s="68">
        <f>IF(AND(AE$4&gt;=$Q25,AE$4&lt;=$S25),MAX(IFERROR(($U25/(1+EXP(-$O25*((DATEDIF($Q25,AE$4,"M")+1)-(DATEDIF($Q25,$S25,"M")+1)/2-$M25)))-$U25/(1+EXP(-$O25*((DATEDIF($Q25,AE$4,"M"))-(DATEDIF($Q25,$S25,"M")+1)/2-$M25))))/(1/(1+EXP(-$O25*((DATEDIF($Q25,$S25,"M")+1)-(DATEDIF($Q25,$S25,"M")+1)/2-$M25)))-1/(1+EXP(-$O25*(-(DATEDIF($Q25,$S25,"M")+1)/2-$M25)))),0)+IFERROR(($U25/(1+EXP(-$O25*((DATEDIF($Q25,AD$4,"M")+1)-(DATEDIF($Q25,$S25,"M")+1)/2-$M25)))-$U25/(1+EXP(-$O25*(-(DATEDIF($Q25,$S25,"M")+1)/2-$M25))))/(1/(1+EXP(-$O25*((DATEDIF($Q25,$S25,"M")+1)-(DATEDIF($Q25,$S25,"M")+1)/2-$M25)))-1/(1+EXP(-$O25*(-(DATEDIF($Q25,$S25,"M")+1)/2-$M25)))),0)-SUM($W25:AD25),0),0)</f>
        <v>38126.194371550533</v>
      </c>
      <c r="AF25" s="68">
        <f>IF(AND(AF$4&gt;=$Q25,AF$4&lt;=$S25),MAX(IFERROR(($U25/(1+EXP(-$O25*((DATEDIF($Q25,AF$4,"M")+1)-(DATEDIF($Q25,$S25,"M")+1)/2-$M25)))-$U25/(1+EXP(-$O25*((DATEDIF($Q25,AF$4,"M"))-(DATEDIF($Q25,$S25,"M")+1)/2-$M25))))/(1/(1+EXP(-$O25*((DATEDIF($Q25,$S25,"M")+1)-(DATEDIF($Q25,$S25,"M")+1)/2-$M25)))-1/(1+EXP(-$O25*(-(DATEDIF($Q25,$S25,"M")+1)/2-$M25)))),0)+IFERROR(($U25/(1+EXP(-$O25*((DATEDIF($Q25,AE$4,"M")+1)-(DATEDIF($Q25,$S25,"M")+1)/2-$M25)))-$U25/(1+EXP(-$O25*(-(DATEDIF($Q25,$S25,"M")+1)/2-$M25))))/(1/(1+EXP(-$O25*((DATEDIF($Q25,$S25,"M")+1)-(DATEDIF($Q25,$S25,"M")+1)/2-$M25)))-1/(1+EXP(-$O25*(-(DATEDIF($Q25,$S25,"M")+1)/2-$M25)))),0)-SUM($W25:AE25),0),0)</f>
        <v>43287.747738677179</v>
      </c>
      <c r="AG25" s="68">
        <f>IF(AND(AG$4&gt;=$Q25,AG$4&lt;=$S25),MAX(IFERROR(($U25/(1+EXP(-$O25*((DATEDIF($Q25,AG$4,"M")+1)-(DATEDIF($Q25,$S25,"M")+1)/2-$M25)))-$U25/(1+EXP(-$O25*((DATEDIF($Q25,AG$4,"M"))-(DATEDIF($Q25,$S25,"M")+1)/2-$M25))))/(1/(1+EXP(-$O25*((DATEDIF($Q25,$S25,"M")+1)-(DATEDIF($Q25,$S25,"M")+1)/2-$M25)))-1/(1+EXP(-$O25*(-(DATEDIF($Q25,$S25,"M")+1)/2-$M25)))),0)+IFERROR(($U25/(1+EXP(-$O25*((DATEDIF($Q25,AF$4,"M")+1)-(DATEDIF($Q25,$S25,"M")+1)/2-$M25)))-$U25/(1+EXP(-$O25*(-(DATEDIF($Q25,$S25,"M")+1)/2-$M25))))/(1/(1+EXP(-$O25*((DATEDIF($Q25,$S25,"M")+1)-(DATEDIF($Q25,$S25,"M")+1)/2-$M25)))-1/(1+EXP(-$O25*(-(DATEDIF($Q25,$S25,"M")+1)/2-$M25)))),0)-SUM($W25:AF25),0),0)</f>
        <v>47957.686495343893</v>
      </c>
      <c r="AH25" s="68">
        <f>IF(AND(AH$4&gt;=$Q25,AH$4&lt;=$S25),MAX(IFERROR(($U25/(1+EXP(-$O25*((DATEDIF($Q25,AH$4,"M")+1)-(DATEDIF($Q25,$S25,"M")+1)/2-$M25)))-$U25/(1+EXP(-$O25*((DATEDIF($Q25,AH$4,"M"))-(DATEDIF($Q25,$S25,"M")+1)/2-$M25))))/(1/(1+EXP(-$O25*((DATEDIF($Q25,$S25,"M")+1)-(DATEDIF($Q25,$S25,"M")+1)/2-$M25)))-1/(1+EXP(-$O25*(-(DATEDIF($Q25,$S25,"M")+1)/2-$M25)))),0)+IFERROR(($U25/(1+EXP(-$O25*((DATEDIF($Q25,AG$4,"M")+1)-(DATEDIF($Q25,$S25,"M")+1)/2-$M25)))-$U25/(1+EXP(-$O25*(-(DATEDIF($Q25,$S25,"M")+1)/2-$M25))))/(1/(1+EXP(-$O25*((DATEDIF($Q25,$S25,"M")+1)-(DATEDIF($Q25,$S25,"M")+1)/2-$M25)))-1/(1+EXP(-$O25*(-(DATEDIF($Q25,$S25,"M")+1)/2-$M25)))),0)-SUM($W25:AG25),0),0)</f>
        <v>51709.442633361497</v>
      </c>
      <c r="AI25" s="68">
        <f>IF(AND(AI$4&gt;=$Q25,AI$4&lt;=$S25),MAX(IFERROR(($U25/(1+EXP(-$O25*((DATEDIF($Q25,AI$4,"M")+1)-(DATEDIF($Q25,$S25,"M")+1)/2-$M25)))-$U25/(1+EXP(-$O25*((DATEDIF($Q25,AI$4,"M"))-(DATEDIF($Q25,$S25,"M")+1)/2-$M25))))/(1/(1+EXP(-$O25*((DATEDIF($Q25,$S25,"M")+1)-(DATEDIF($Q25,$S25,"M")+1)/2-$M25)))-1/(1+EXP(-$O25*(-(DATEDIF($Q25,$S25,"M")+1)/2-$M25)))),0)+IFERROR(($U25/(1+EXP(-$O25*((DATEDIF($Q25,AH$4,"M")+1)-(DATEDIF($Q25,$S25,"M")+1)/2-$M25)))-$U25/(1+EXP(-$O25*(-(DATEDIF($Q25,$S25,"M")+1)/2-$M25))))/(1/(1+EXP(-$O25*((DATEDIF($Q25,$S25,"M")+1)-(DATEDIF($Q25,$S25,"M")+1)/2-$M25)))-1/(1+EXP(-$O25*(-(DATEDIF($Q25,$S25,"M")+1)/2-$M25)))),0)-SUM($W25:AH25),0),0)</f>
        <v>54149.13778514351</v>
      </c>
      <c r="AJ25" s="68">
        <f>IF(AND(AJ$4&gt;=$Q25,AJ$4&lt;=$S25),MAX(IFERROR(($U25/(1+EXP(-$O25*((DATEDIF($Q25,AJ$4,"M")+1)-(DATEDIF($Q25,$S25,"M")+1)/2-$M25)))-$U25/(1+EXP(-$O25*((DATEDIF($Q25,AJ$4,"M"))-(DATEDIF($Q25,$S25,"M")+1)/2-$M25))))/(1/(1+EXP(-$O25*((DATEDIF($Q25,$S25,"M")+1)-(DATEDIF($Q25,$S25,"M")+1)/2-$M25)))-1/(1+EXP(-$O25*(-(DATEDIF($Q25,$S25,"M")+1)/2-$M25)))),0)+IFERROR(($U25/(1+EXP(-$O25*((DATEDIF($Q25,AI$4,"M")+1)-(DATEDIF($Q25,$S25,"M")+1)/2-$M25)))-$U25/(1+EXP(-$O25*(-(DATEDIF($Q25,$S25,"M")+1)/2-$M25))))/(1/(1+EXP(-$O25*((DATEDIF($Q25,$S25,"M")+1)-(DATEDIF($Q25,$S25,"M")+1)/2-$M25)))-1/(1+EXP(-$O25*(-(DATEDIF($Q25,$S25,"M")+1)/2-$M25)))),0)-SUM($W25:AI25),0),0)</f>
        <v>54996.320304009831</v>
      </c>
      <c r="AK25" s="68">
        <f>IF(AND(AK$4&gt;=$Q25,AK$4&lt;=$S25),MAX(IFERROR(($U25/(1+EXP(-$O25*((DATEDIF($Q25,AK$4,"M")+1)-(DATEDIF($Q25,$S25,"M")+1)/2-$M25)))-$U25/(1+EXP(-$O25*((DATEDIF($Q25,AK$4,"M"))-(DATEDIF($Q25,$S25,"M")+1)/2-$M25))))/(1/(1+EXP(-$O25*((DATEDIF($Q25,$S25,"M")+1)-(DATEDIF($Q25,$S25,"M")+1)/2-$M25)))-1/(1+EXP(-$O25*(-(DATEDIF($Q25,$S25,"M")+1)/2-$M25)))),0)+IFERROR(($U25/(1+EXP(-$O25*((DATEDIF($Q25,AJ$4,"M")+1)-(DATEDIF($Q25,$S25,"M")+1)/2-$M25)))-$U25/(1+EXP(-$O25*(-(DATEDIF($Q25,$S25,"M")+1)/2-$M25))))/(1/(1+EXP(-$O25*((DATEDIF($Q25,$S25,"M")+1)-(DATEDIF($Q25,$S25,"M")+1)/2-$M25)))-1/(1+EXP(-$O25*(-(DATEDIF($Q25,$S25,"M")+1)/2-$M25)))),0)-SUM($W25:AJ25),0),0)</f>
        <v>54149.137785143394</v>
      </c>
      <c r="AL25" s="68">
        <f>IF(AND(AL$4&gt;=$Q25,AL$4&lt;=$S25),MAX(IFERROR(($U25/(1+EXP(-$O25*((DATEDIF($Q25,AL$4,"M")+1)-(DATEDIF($Q25,$S25,"M")+1)/2-$M25)))-$U25/(1+EXP(-$O25*((DATEDIF($Q25,AL$4,"M"))-(DATEDIF($Q25,$S25,"M")+1)/2-$M25))))/(1/(1+EXP(-$O25*((DATEDIF($Q25,$S25,"M")+1)-(DATEDIF($Q25,$S25,"M")+1)/2-$M25)))-1/(1+EXP(-$O25*(-(DATEDIF($Q25,$S25,"M")+1)/2-$M25)))),0)+IFERROR(($U25/(1+EXP(-$O25*((DATEDIF($Q25,AK$4,"M")+1)-(DATEDIF($Q25,$S25,"M")+1)/2-$M25)))-$U25/(1+EXP(-$O25*(-(DATEDIF($Q25,$S25,"M")+1)/2-$M25))))/(1/(1+EXP(-$O25*((DATEDIF($Q25,$S25,"M")+1)-(DATEDIF($Q25,$S25,"M")+1)/2-$M25)))-1/(1+EXP(-$O25*(-(DATEDIF($Q25,$S25,"M")+1)/2-$M25)))),0)-SUM($W25:AK25),0),0)</f>
        <v>51709.442633361614</v>
      </c>
      <c r="AM25" s="68">
        <f>IF(AND(AM$4&gt;=$Q25,AM$4&lt;=$S25),MAX(IFERROR(($U25/(1+EXP(-$O25*((DATEDIF($Q25,AM$4,"M")+1)-(DATEDIF($Q25,$S25,"M")+1)/2-$M25)))-$U25/(1+EXP(-$O25*((DATEDIF($Q25,AM$4,"M"))-(DATEDIF($Q25,$S25,"M")+1)/2-$M25))))/(1/(1+EXP(-$O25*((DATEDIF($Q25,$S25,"M")+1)-(DATEDIF($Q25,$S25,"M")+1)/2-$M25)))-1/(1+EXP(-$O25*(-(DATEDIF($Q25,$S25,"M")+1)/2-$M25)))),0)+IFERROR(($U25/(1+EXP(-$O25*((DATEDIF($Q25,AL$4,"M")+1)-(DATEDIF($Q25,$S25,"M")+1)/2-$M25)))-$U25/(1+EXP(-$O25*(-(DATEDIF($Q25,$S25,"M")+1)/2-$M25))))/(1/(1+EXP(-$O25*((DATEDIF($Q25,$S25,"M")+1)-(DATEDIF($Q25,$S25,"M")+1)/2-$M25)))-1/(1+EXP(-$O25*(-(DATEDIF($Q25,$S25,"M")+1)/2-$M25)))),0)-SUM($W25:AL25),0),0)</f>
        <v>47957.686495343805</v>
      </c>
      <c r="AN25" s="68">
        <f>IF(AND(AN$4&gt;=$Q25,AN$4&lt;=$S25),MAX(IFERROR(($U25/(1+EXP(-$O25*((DATEDIF($Q25,AN$4,"M")+1)-(DATEDIF($Q25,$S25,"M")+1)/2-$M25)))-$U25/(1+EXP(-$O25*((DATEDIF($Q25,AN$4,"M"))-(DATEDIF($Q25,$S25,"M")+1)/2-$M25))))/(1/(1+EXP(-$O25*((DATEDIF($Q25,$S25,"M")+1)-(DATEDIF($Q25,$S25,"M")+1)/2-$M25)))-1/(1+EXP(-$O25*(-(DATEDIF($Q25,$S25,"M")+1)/2-$M25)))),0)+IFERROR(($U25/(1+EXP(-$O25*((DATEDIF($Q25,AM$4,"M")+1)-(DATEDIF($Q25,$S25,"M")+1)/2-$M25)))-$U25/(1+EXP(-$O25*(-(DATEDIF($Q25,$S25,"M")+1)/2-$M25))))/(1/(1+EXP(-$O25*((DATEDIF($Q25,$S25,"M")+1)-(DATEDIF($Q25,$S25,"M")+1)/2-$M25)))-1/(1+EXP(-$O25*(-(DATEDIF($Q25,$S25,"M")+1)/2-$M25)))),0)-SUM($W25:AM25),0),0)</f>
        <v>43287.747738677193</v>
      </c>
      <c r="AO25" s="68">
        <f>IF(AND(AO$4&gt;=$Q25,AO$4&lt;=$S25),MAX(IFERROR(($U25/(1+EXP(-$O25*((DATEDIF($Q25,AO$4,"M")+1)-(DATEDIF($Q25,$S25,"M")+1)/2-$M25)))-$U25/(1+EXP(-$O25*((DATEDIF($Q25,AO$4,"M"))-(DATEDIF($Q25,$S25,"M")+1)/2-$M25))))/(1/(1+EXP(-$O25*((DATEDIF($Q25,$S25,"M")+1)-(DATEDIF($Q25,$S25,"M")+1)/2-$M25)))-1/(1+EXP(-$O25*(-(DATEDIF($Q25,$S25,"M")+1)/2-$M25)))),0)+IFERROR(($U25/(1+EXP(-$O25*((DATEDIF($Q25,AN$4,"M")+1)-(DATEDIF($Q25,$S25,"M")+1)/2-$M25)))-$U25/(1+EXP(-$O25*(-(DATEDIF($Q25,$S25,"M")+1)/2-$M25))))/(1/(1+EXP(-$O25*((DATEDIF($Q25,$S25,"M")+1)-(DATEDIF($Q25,$S25,"M")+1)/2-$M25)))-1/(1+EXP(-$O25*(-(DATEDIF($Q25,$S25,"M")+1)/2-$M25)))),0)-SUM($W25:AN25),0),0)</f>
        <v>38126.194371550693</v>
      </c>
      <c r="AP25" s="68">
        <f>IF(AND(AP$4&gt;=$Q25,AP$4&lt;=$S25),MAX(IFERROR(($U25/(1+EXP(-$O25*((DATEDIF($Q25,AP$4,"M")+1)-(DATEDIF($Q25,$S25,"M")+1)/2-$M25)))-$U25/(1+EXP(-$O25*((DATEDIF($Q25,AP$4,"M"))-(DATEDIF($Q25,$S25,"M")+1)/2-$M25))))/(1/(1+EXP(-$O25*((DATEDIF($Q25,$S25,"M")+1)-(DATEDIF($Q25,$S25,"M")+1)/2-$M25)))-1/(1+EXP(-$O25*(-(DATEDIF($Q25,$S25,"M")+1)/2-$M25)))),0)+IFERROR(($U25/(1+EXP(-$O25*((DATEDIF($Q25,AO$4,"M")+1)-(DATEDIF($Q25,$S25,"M")+1)/2-$M25)))-$U25/(1+EXP(-$O25*(-(DATEDIF($Q25,$S25,"M")+1)/2-$M25))))/(1/(1+EXP(-$O25*((DATEDIF($Q25,$S25,"M")+1)-(DATEDIF($Q25,$S25,"M")+1)/2-$M25)))-1/(1+EXP(-$O25*(-(DATEDIF($Q25,$S25,"M")+1)/2-$M25)))),0)-SUM($W25:AO25),0),0)</f>
        <v>32861.674275056226</v>
      </c>
      <c r="AQ25" s="68">
        <f>IF(AND(AQ$4&gt;=$Q25,AQ$4&lt;=$S25),MAX(IFERROR(($U25/(1+EXP(-$O25*((DATEDIF($Q25,AQ$4,"M")+1)-(DATEDIF($Q25,$S25,"M")+1)/2-$M25)))-$U25/(1+EXP(-$O25*((DATEDIF($Q25,AQ$4,"M"))-(DATEDIF($Q25,$S25,"M")+1)/2-$M25))))/(1/(1+EXP(-$O25*((DATEDIF($Q25,$S25,"M")+1)-(DATEDIF($Q25,$S25,"M")+1)/2-$M25)))-1/(1+EXP(-$O25*(-(DATEDIF($Q25,$S25,"M")+1)/2-$M25)))),0)+IFERROR(($U25/(1+EXP(-$O25*((DATEDIF($Q25,AP$4,"M")+1)-(DATEDIF($Q25,$S25,"M")+1)/2-$M25)))-$U25/(1+EXP(-$O25*(-(DATEDIF($Q25,$S25,"M")+1)/2-$M25))))/(1/(1+EXP(-$O25*((DATEDIF($Q25,$S25,"M")+1)-(DATEDIF($Q25,$S25,"M")+1)/2-$M25)))-1/(1+EXP(-$O25*(-(DATEDIF($Q25,$S25,"M")+1)/2-$M25)))),0)-SUM($W25:AP25),0),0)</f>
        <v>27800.240092327236</v>
      </c>
      <c r="AR25" s="68">
        <f>IF(AND(AR$4&gt;=$Q25,AR$4&lt;=$S25),MAX(IFERROR(($U25/(1+EXP(-$O25*((DATEDIF($Q25,AR$4,"M")+1)-(DATEDIF($Q25,$S25,"M")+1)/2-$M25)))-$U25/(1+EXP(-$O25*((DATEDIF($Q25,AR$4,"M"))-(DATEDIF($Q25,$S25,"M")+1)/2-$M25))))/(1/(1+EXP(-$O25*((DATEDIF($Q25,$S25,"M")+1)-(DATEDIF($Q25,$S25,"M")+1)/2-$M25)))-1/(1+EXP(-$O25*(-(DATEDIF($Q25,$S25,"M")+1)/2-$M25)))),0)+IFERROR(($U25/(1+EXP(-$O25*((DATEDIF($Q25,AQ$4,"M")+1)-(DATEDIF($Q25,$S25,"M")+1)/2-$M25)))-$U25/(1+EXP(-$O25*(-(DATEDIF($Q25,$S25,"M")+1)/2-$M25))))/(1/(1+EXP(-$O25*((DATEDIF($Q25,$S25,"M")+1)-(DATEDIF($Q25,$S25,"M")+1)/2-$M25)))-1/(1+EXP(-$O25*(-(DATEDIF($Q25,$S25,"M")+1)/2-$M25)))),0)-SUM($W25:AQ25),0),0)</f>
        <v>23149.357206480927</v>
      </c>
      <c r="AS25" s="68">
        <f>IF(AND(AS$4&gt;=$Q25,AS$4&lt;=$S25),MAX(IFERROR(($U25/(1+EXP(-$O25*((DATEDIF($Q25,AS$4,"M")+1)-(DATEDIF($Q25,$S25,"M")+1)/2-$M25)))-$U25/(1+EXP(-$O25*((DATEDIF($Q25,AS$4,"M"))-(DATEDIF($Q25,$S25,"M")+1)/2-$M25))))/(1/(1+EXP(-$O25*((DATEDIF($Q25,$S25,"M")+1)-(DATEDIF($Q25,$S25,"M")+1)/2-$M25)))-1/(1+EXP(-$O25*(-(DATEDIF($Q25,$S25,"M")+1)/2-$M25)))),0)+IFERROR(($U25/(1+EXP(-$O25*((DATEDIF($Q25,AR$4,"M")+1)-(DATEDIF($Q25,$S25,"M")+1)/2-$M25)))-$U25/(1+EXP(-$O25*(-(DATEDIF($Q25,$S25,"M")+1)/2-$M25))))/(1/(1+EXP(-$O25*((DATEDIF($Q25,$S25,"M")+1)-(DATEDIF($Q25,$S25,"M")+1)/2-$M25)))-1/(1+EXP(-$O25*(-(DATEDIF($Q25,$S25,"M")+1)/2-$M25)))),0)-SUM($W25:AR25),0),0)</f>
        <v>19024.024081931333</v>
      </c>
      <c r="AT25" s="68">
        <f>IF(AND(AT$4&gt;=$Q25,AT$4&lt;=$S25),MAX(IFERROR(($U25/(1+EXP(-$O25*((DATEDIF($Q25,AT$4,"M")+1)-(DATEDIF($Q25,$S25,"M")+1)/2-$M25)))-$U25/(1+EXP(-$O25*((DATEDIF($Q25,AT$4,"M"))-(DATEDIF($Q25,$S25,"M")+1)/2-$M25))))/(1/(1+EXP(-$O25*((DATEDIF($Q25,$S25,"M")+1)-(DATEDIF($Q25,$S25,"M")+1)/2-$M25)))-1/(1+EXP(-$O25*(-(DATEDIF($Q25,$S25,"M")+1)/2-$M25)))),0)+IFERROR(($U25/(1+EXP(-$O25*((DATEDIF($Q25,AS$4,"M")+1)-(DATEDIF($Q25,$S25,"M")+1)/2-$M25)))-$U25/(1+EXP(-$O25*(-(DATEDIF($Q25,$S25,"M")+1)/2-$M25))))/(1/(1+EXP(-$O25*((DATEDIF($Q25,$S25,"M")+1)-(DATEDIF($Q25,$S25,"M")+1)/2-$M25)))-1/(1+EXP(-$O25*(-(DATEDIF($Q25,$S25,"M")+1)/2-$M25)))),0)-SUM($W25:AS25),0),0)</f>
        <v>15465.143497435492</v>
      </c>
      <c r="AU25" s="68">
        <f>IF(AND(AU$4&gt;=$Q25,AU$4&lt;=$S25),MAX(IFERROR(($U25/(1+EXP(-$O25*((DATEDIF($Q25,AU$4,"M")+1)-(DATEDIF($Q25,$S25,"M")+1)/2-$M25)))-$U25/(1+EXP(-$O25*((DATEDIF($Q25,AU$4,"M"))-(DATEDIF($Q25,$S25,"M")+1)/2-$M25))))/(1/(1+EXP(-$O25*((DATEDIF($Q25,$S25,"M")+1)-(DATEDIF($Q25,$S25,"M")+1)/2-$M25)))-1/(1+EXP(-$O25*(-(DATEDIF($Q25,$S25,"M")+1)/2-$M25)))),0)+IFERROR(($U25/(1+EXP(-$O25*((DATEDIF($Q25,AT$4,"M")+1)-(DATEDIF($Q25,$S25,"M")+1)/2-$M25)))-$U25/(1+EXP(-$O25*(-(DATEDIF($Q25,$S25,"M")+1)/2-$M25))))/(1/(1+EXP(-$O25*((DATEDIF($Q25,$S25,"M")+1)-(DATEDIF($Q25,$S25,"M")+1)/2-$M25)))-1/(1+EXP(-$O25*(-(DATEDIF($Q25,$S25,"M")+1)/2-$M25)))),0)-SUM($W25:AT25),0),0)</f>
        <v>12461.52591889794</v>
      </c>
      <c r="AV25" s="68">
        <f>IF(AND(AV$4&gt;=$Q25,AV$4&lt;=$S25),MAX(IFERROR(($U25/(1+EXP(-$O25*((DATEDIF($Q25,AV$4,"M")+1)-(DATEDIF($Q25,$S25,"M")+1)/2-$M25)))-$U25/(1+EXP(-$O25*((DATEDIF($Q25,AV$4,"M"))-(DATEDIF($Q25,$S25,"M")+1)/2-$M25))))/(1/(1+EXP(-$O25*((DATEDIF($Q25,$S25,"M")+1)-(DATEDIF($Q25,$S25,"M")+1)/2-$M25)))-1/(1+EXP(-$O25*(-(DATEDIF($Q25,$S25,"M")+1)/2-$M25)))),0)+IFERROR(($U25/(1+EXP(-$O25*((DATEDIF($Q25,AU$4,"M")+1)-(DATEDIF($Q25,$S25,"M")+1)/2-$M25)))-$U25/(1+EXP(-$O25*(-(DATEDIF($Q25,$S25,"M")+1)/2-$M25))))/(1/(1+EXP(-$O25*((DATEDIF($Q25,$S25,"M")+1)-(DATEDIF($Q25,$S25,"M")+1)/2-$M25)))-1/(1+EXP(-$O25*(-(DATEDIF($Q25,$S25,"M")+1)/2-$M25)))),0)-SUM($W25:AU25),0),0)</f>
        <v>9970.0250018433435</v>
      </c>
      <c r="AW25" s="68">
        <f>IF(AND(AW$4&gt;=$Q25,AW$4&lt;=$S25),MAX(IFERROR(($U25/(1+EXP(-$O25*((DATEDIF($Q25,AW$4,"M")+1)-(DATEDIF($Q25,$S25,"M")+1)/2-$M25)))-$U25/(1+EXP(-$O25*((DATEDIF($Q25,AW$4,"M"))-(DATEDIF($Q25,$S25,"M")+1)/2-$M25))))/(1/(1+EXP(-$O25*((DATEDIF($Q25,$S25,"M")+1)-(DATEDIF($Q25,$S25,"M")+1)/2-$M25)))-1/(1+EXP(-$O25*(-(DATEDIF($Q25,$S25,"M")+1)/2-$M25)))),0)+IFERROR(($U25/(1+EXP(-$O25*((DATEDIF($Q25,AV$4,"M")+1)-(DATEDIF($Q25,$S25,"M")+1)/2-$M25)))-$U25/(1+EXP(-$O25*(-(DATEDIF($Q25,$S25,"M")+1)/2-$M25))))/(1/(1+EXP(-$O25*((DATEDIF($Q25,$S25,"M")+1)-(DATEDIF($Q25,$S25,"M")+1)/2-$M25)))-1/(1+EXP(-$O25*(-(DATEDIF($Q25,$S25,"M")+1)/2-$M25)))),0)-SUM($W25:AV25),0),0)</f>
        <v>0</v>
      </c>
      <c r="AX25" s="68">
        <f>IF(AND(AX$4&gt;=$Q25,AX$4&lt;=$S25),MAX(IFERROR(($U25/(1+EXP(-$O25*((DATEDIF($Q25,AX$4,"M")+1)-(DATEDIF($Q25,$S25,"M")+1)/2-$M25)))-$U25/(1+EXP(-$O25*((DATEDIF($Q25,AX$4,"M"))-(DATEDIF($Q25,$S25,"M")+1)/2-$M25))))/(1/(1+EXP(-$O25*((DATEDIF($Q25,$S25,"M")+1)-(DATEDIF($Q25,$S25,"M")+1)/2-$M25)))-1/(1+EXP(-$O25*(-(DATEDIF($Q25,$S25,"M")+1)/2-$M25)))),0)+IFERROR(($U25/(1+EXP(-$O25*((DATEDIF($Q25,AW$4,"M")+1)-(DATEDIF($Q25,$S25,"M")+1)/2-$M25)))-$U25/(1+EXP(-$O25*(-(DATEDIF($Q25,$S25,"M")+1)/2-$M25))))/(1/(1+EXP(-$O25*((DATEDIF($Q25,$S25,"M")+1)-(DATEDIF($Q25,$S25,"M")+1)/2-$M25)))-1/(1+EXP(-$O25*(-(DATEDIF($Q25,$S25,"M")+1)/2-$M25)))),0)-SUM($W25:AW25),0),0)</f>
        <v>0</v>
      </c>
      <c r="AY25" s="68">
        <f>IF(AND(AY$4&gt;=$Q25,AY$4&lt;=$S25),MAX(IFERROR(($U25/(1+EXP(-$O25*((DATEDIF($Q25,AY$4,"M")+1)-(DATEDIF($Q25,$S25,"M")+1)/2-$M25)))-$U25/(1+EXP(-$O25*((DATEDIF($Q25,AY$4,"M"))-(DATEDIF($Q25,$S25,"M")+1)/2-$M25))))/(1/(1+EXP(-$O25*((DATEDIF($Q25,$S25,"M")+1)-(DATEDIF($Q25,$S25,"M")+1)/2-$M25)))-1/(1+EXP(-$O25*(-(DATEDIF($Q25,$S25,"M")+1)/2-$M25)))),0)+IFERROR(($U25/(1+EXP(-$O25*((DATEDIF($Q25,AX$4,"M")+1)-(DATEDIF($Q25,$S25,"M")+1)/2-$M25)))-$U25/(1+EXP(-$O25*(-(DATEDIF($Q25,$S25,"M")+1)/2-$M25))))/(1/(1+EXP(-$O25*((DATEDIF($Q25,$S25,"M")+1)-(DATEDIF($Q25,$S25,"M")+1)/2-$M25)))-1/(1+EXP(-$O25*(-(DATEDIF($Q25,$S25,"M")+1)/2-$M25)))),0)-SUM($W25:AX25),0),0)</f>
        <v>0</v>
      </c>
      <c r="AZ25" s="68">
        <f>IF(AND(AZ$4&gt;=$Q25,AZ$4&lt;=$S25),MAX(IFERROR(($U25/(1+EXP(-$O25*((DATEDIF($Q25,AZ$4,"M")+1)-(DATEDIF($Q25,$S25,"M")+1)/2-$M25)))-$U25/(1+EXP(-$O25*((DATEDIF($Q25,AZ$4,"M"))-(DATEDIF($Q25,$S25,"M")+1)/2-$M25))))/(1/(1+EXP(-$O25*((DATEDIF($Q25,$S25,"M")+1)-(DATEDIF($Q25,$S25,"M")+1)/2-$M25)))-1/(1+EXP(-$O25*(-(DATEDIF($Q25,$S25,"M")+1)/2-$M25)))),0)+IFERROR(($U25/(1+EXP(-$O25*((DATEDIF($Q25,AY$4,"M")+1)-(DATEDIF($Q25,$S25,"M")+1)/2-$M25)))-$U25/(1+EXP(-$O25*(-(DATEDIF($Q25,$S25,"M")+1)/2-$M25))))/(1/(1+EXP(-$O25*((DATEDIF($Q25,$S25,"M")+1)-(DATEDIF($Q25,$S25,"M")+1)/2-$M25)))-1/(1+EXP(-$O25*(-(DATEDIF($Q25,$S25,"M")+1)/2-$M25)))),0)-SUM($W25:AY25),0),0)</f>
        <v>0</v>
      </c>
      <c r="BA25" s="68">
        <f>IF(AND(BA$4&gt;=$Q25,BA$4&lt;=$S25),MAX(IFERROR(($U25/(1+EXP(-$O25*((DATEDIF($Q25,BA$4,"M")+1)-(DATEDIF($Q25,$S25,"M")+1)/2-$M25)))-$U25/(1+EXP(-$O25*((DATEDIF($Q25,BA$4,"M"))-(DATEDIF($Q25,$S25,"M")+1)/2-$M25))))/(1/(1+EXP(-$O25*((DATEDIF($Q25,$S25,"M")+1)-(DATEDIF($Q25,$S25,"M")+1)/2-$M25)))-1/(1+EXP(-$O25*(-(DATEDIF($Q25,$S25,"M")+1)/2-$M25)))),0)+IFERROR(($U25/(1+EXP(-$O25*((DATEDIF($Q25,AZ$4,"M")+1)-(DATEDIF($Q25,$S25,"M")+1)/2-$M25)))-$U25/(1+EXP(-$O25*(-(DATEDIF($Q25,$S25,"M")+1)/2-$M25))))/(1/(1+EXP(-$O25*((DATEDIF($Q25,$S25,"M")+1)-(DATEDIF($Q25,$S25,"M")+1)/2-$M25)))-1/(1+EXP(-$O25*(-(DATEDIF($Q25,$S25,"M")+1)/2-$M25)))),0)-SUM($W25:AZ25),0),0)</f>
        <v>0</v>
      </c>
      <c r="BB25" s="68">
        <f>IF(AND(BB$4&gt;=$Q25,BB$4&lt;=$S25),MAX(IFERROR(($U25/(1+EXP(-$O25*((DATEDIF($Q25,BB$4,"M")+1)-(DATEDIF($Q25,$S25,"M")+1)/2-$M25)))-$U25/(1+EXP(-$O25*((DATEDIF($Q25,BB$4,"M"))-(DATEDIF($Q25,$S25,"M")+1)/2-$M25))))/(1/(1+EXP(-$O25*((DATEDIF($Q25,$S25,"M")+1)-(DATEDIF($Q25,$S25,"M")+1)/2-$M25)))-1/(1+EXP(-$O25*(-(DATEDIF($Q25,$S25,"M")+1)/2-$M25)))),0)+IFERROR(($U25/(1+EXP(-$O25*((DATEDIF($Q25,BA$4,"M")+1)-(DATEDIF($Q25,$S25,"M")+1)/2-$M25)))-$U25/(1+EXP(-$O25*(-(DATEDIF($Q25,$S25,"M")+1)/2-$M25))))/(1/(1+EXP(-$O25*((DATEDIF($Q25,$S25,"M")+1)-(DATEDIF($Q25,$S25,"M")+1)/2-$M25)))-1/(1+EXP(-$O25*(-(DATEDIF($Q25,$S25,"M")+1)/2-$M25)))),0)-SUM($W25:BA25),0),0)</f>
        <v>0</v>
      </c>
      <c r="BC25" s="68">
        <f>IF(AND(BC$4&gt;=$Q25,BC$4&lt;=$S25),MAX(IFERROR(($U25/(1+EXP(-$O25*((DATEDIF($Q25,BC$4,"M")+1)-(DATEDIF($Q25,$S25,"M")+1)/2-$M25)))-$U25/(1+EXP(-$O25*((DATEDIF($Q25,BC$4,"M"))-(DATEDIF($Q25,$S25,"M")+1)/2-$M25))))/(1/(1+EXP(-$O25*((DATEDIF($Q25,$S25,"M")+1)-(DATEDIF($Q25,$S25,"M")+1)/2-$M25)))-1/(1+EXP(-$O25*(-(DATEDIF($Q25,$S25,"M")+1)/2-$M25)))),0)+IFERROR(($U25/(1+EXP(-$O25*((DATEDIF($Q25,BB$4,"M")+1)-(DATEDIF($Q25,$S25,"M")+1)/2-$M25)))-$U25/(1+EXP(-$O25*(-(DATEDIF($Q25,$S25,"M")+1)/2-$M25))))/(1/(1+EXP(-$O25*((DATEDIF($Q25,$S25,"M")+1)-(DATEDIF($Q25,$S25,"M")+1)/2-$M25)))-1/(1+EXP(-$O25*(-(DATEDIF($Q25,$S25,"M")+1)/2-$M25)))),0)-SUM($W25:BB25),0),0)</f>
        <v>0</v>
      </c>
      <c r="BD25" s="68">
        <f>IF(AND(BD$4&gt;=$Q25,BD$4&lt;=$S25),MAX(IFERROR(($U25/(1+EXP(-$O25*((DATEDIF($Q25,BD$4,"M")+1)-(DATEDIF($Q25,$S25,"M")+1)/2-$M25)))-$U25/(1+EXP(-$O25*((DATEDIF($Q25,BD$4,"M"))-(DATEDIF($Q25,$S25,"M")+1)/2-$M25))))/(1/(1+EXP(-$O25*((DATEDIF($Q25,$S25,"M")+1)-(DATEDIF($Q25,$S25,"M")+1)/2-$M25)))-1/(1+EXP(-$O25*(-(DATEDIF($Q25,$S25,"M")+1)/2-$M25)))),0)+IFERROR(($U25/(1+EXP(-$O25*((DATEDIF($Q25,BC$4,"M")+1)-(DATEDIF($Q25,$S25,"M")+1)/2-$M25)))-$U25/(1+EXP(-$O25*(-(DATEDIF($Q25,$S25,"M")+1)/2-$M25))))/(1/(1+EXP(-$O25*((DATEDIF($Q25,$S25,"M")+1)-(DATEDIF($Q25,$S25,"M")+1)/2-$M25)))-1/(1+EXP(-$O25*(-(DATEDIF($Q25,$S25,"M")+1)/2-$M25)))),0)-SUM($W25:BC25),0),0)</f>
        <v>0</v>
      </c>
      <c r="BE25" s="68">
        <f>IF(AND(BE$4&gt;=$Q25,BE$4&lt;=$S25),MAX(IFERROR(($U25/(1+EXP(-$O25*((DATEDIF($Q25,BE$4,"M")+1)-(DATEDIF($Q25,$S25,"M")+1)/2-$M25)))-$U25/(1+EXP(-$O25*((DATEDIF($Q25,BE$4,"M"))-(DATEDIF($Q25,$S25,"M")+1)/2-$M25))))/(1/(1+EXP(-$O25*((DATEDIF($Q25,$S25,"M")+1)-(DATEDIF($Q25,$S25,"M")+1)/2-$M25)))-1/(1+EXP(-$O25*(-(DATEDIF($Q25,$S25,"M")+1)/2-$M25)))),0)+IFERROR(($U25/(1+EXP(-$O25*((DATEDIF($Q25,BD$4,"M")+1)-(DATEDIF($Q25,$S25,"M")+1)/2-$M25)))-$U25/(1+EXP(-$O25*(-(DATEDIF($Q25,$S25,"M")+1)/2-$M25))))/(1/(1+EXP(-$O25*((DATEDIF($Q25,$S25,"M")+1)-(DATEDIF($Q25,$S25,"M")+1)/2-$M25)))-1/(1+EXP(-$O25*(-(DATEDIF($Q25,$S25,"M")+1)/2-$M25)))),0)-SUM($W25:BD25),0),0)</f>
        <v>0</v>
      </c>
      <c r="BF25" s="68">
        <f>IF(AND(BF$4&gt;=$Q25,BF$4&lt;=$S25),MAX(IFERROR(($U25/(1+EXP(-$O25*((DATEDIF($Q25,BF$4,"M")+1)-(DATEDIF($Q25,$S25,"M")+1)/2-$M25)))-$U25/(1+EXP(-$O25*((DATEDIF($Q25,BF$4,"M"))-(DATEDIF($Q25,$S25,"M")+1)/2-$M25))))/(1/(1+EXP(-$O25*((DATEDIF($Q25,$S25,"M")+1)-(DATEDIF($Q25,$S25,"M")+1)/2-$M25)))-1/(1+EXP(-$O25*(-(DATEDIF($Q25,$S25,"M")+1)/2-$M25)))),0)+IFERROR(($U25/(1+EXP(-$O25*((DATEDIF($Q25,BE$4,"M")+1)-(DATEDIF($Q25,$S25,"M")+1)/2-$M25)))-$U25/(1+EXP(-$O25*(-(DATEDIF($Q25,$S25,"M")+1)/2-$M25))))/(1/(1+EXP(-$O25*((DATEDIF($Q25,$S25,"M")+1)-(DATEDIF($Q25,$S25,"M")+1)/2-$M25)))-1/(1+EXP(-$O25*(-(DATEDIF($Q25,$S25,"M")+1)/2-$M25)))),0)-SUM($W25:BE25),0),0)</f>
        <v>0</v>
      </c>
      <c r="BG25" s="68">
        <f>IF(AND(BG$4&gt;=$Q25,BG$4&lt;=$S25),MAX(IFERROR(($U25/(1+EXP(-$O25*((DATEDIF($Q25,BG$4,"M")+1)-(DATEDIF($Q25,$S25,"M")+1)/2-$M25)))-$U25/(1+EXP(-$O25*((DATEDIF($Q25,BG$4,"M"))-(DATEDIF($Q25,$S25,"M")+1)/2-$M25))))/(1/(1+EXP(-$O25*((DATEDIF($Q25,$S25,"M")+1)-(DATEDIF($Q25,$S25,"M")+1)/2-$M25)))-1/(1+EXP(-$O25*(-(DATEDIF($Q25,$S25,"M")+1)/2-$M25)))),0)+IFERROR(($U25/(1+EXP(-$O25*((DATEDIF($Q25,BF$4,"M")+1)-(DATEDIF($Q25,$S25,"M")+1)/2-$M25)))-$U25/(1+EXP(-$O25*(-(DATEDIF($Q25,$S25,"M")+1)/2-$M25))))/(1/(1+EXP(-$O25*((DATEDIF($Q25,$S25,"M")+1)-(DATEDIF($Q25,$S25,"M")+1)/2-$M25)))-1/(1+EXP(-$O25*(-(DATEDIF($Q25,$S25,"M")+1)/2-$M25)))),0)-SUM($W25:BF25),0),0)</f>
        <v>0</v>
      </c>
      <c r="BH25" s="68">
        <f>IF(AND(BH$4&gt;=$Q25,BH$4&lt;=$S25),MAX(IFERROR(($U25/(1+EXP(-$O25*((DATEDIF($Q25,BH$4,"M")+1)-(DATEDIF($Q25,$S25,"M")+1)/2-$M25)))-$U25/(1+EXP(-$O25*((DATEDIF($Q25,BH$4,"M"))-(DATEDIF($Q25,$S25,"M")+1)/2-$M25))))/(1/(1+EXP(-$O25*((DATEDIF($Q25,$S25,"M")+1)-(DATEDIF($Q25,$S25,"M")+1)/2-$M25)))-1/(1+EXP(-$O25*(-(DATEDIF($Q25,$S25,"M")+1)/2-$M25)))),0)+IFERROR(($U25/(1+EXP(-$O25*((DATEDIF($Q25,BG$4,"M")+1)-(DATEDIF($Q25,$S25,"M")+1)/2-$M25)))-$U25/(1+EXP(-$O25*(-(DATEDIF($Q25,$S25,"M")+1)/2-$M25))))/(1/(1+EXP(-$O25*((DATEDIF($Q25,$S25,"M")+1)-(DATEDIF($Q25,$S25,"M")+1)/2-$M25)))-1/(1+EXP(-$O25*(-(DATEDIF($Q25,$S25,"M")+1)/2-$M25)))),0)-SUM($W25:BG25),0),0)</f>
        <v>0</v>
      </c>
      <c r="BI25" s="68">
        <f>IF(AND(BI$4&gt;=$Q25,BI$4&lt;=$S25),MAX(IFERROR(($U25/(1+EXP(-$O25*((DATEDIF($Q25,BI$4,"M")+1)-(DATEDIF($Q25,$S25,"M")+1)/2-$M25)))-$U25/(1+EXP(-$O25*((DATEDIF($Q25,BI$4,"M"))-(DATEDIF($Q25,$S25,"M")+1)/2-$M25))))/(1/(1+EXP(-$O25*((DATEDIF($Q25,$S25,"M")+1)-(DATEDIF($Q25,$S25,"M")+1)/2-$M25)))-1/(1+EXP(-$O25*(-(DATEDIF($Q25,$S25,"M")+1)/2-$M25)))),0)+IFERROR(($U25/(1+EXP(-$O25*((DATEDIF($Q25,BH$4,"M")+1)-(DATEDIF($Q25,$S25,"M")+1)/2-$M25)))-$U25/(1+EXP(-$O25*(-(DATEDIF($Q25,$S25,"M")+1)/2-$M25))))/(1/(1+EXP(-$O25*((DATEDIF($Q25,$S25,"M")+1)-(DATEDIF($Q25,$S25,"M")+1)/2-$M25)))-1/(1+EXP(-$O25*(-(DATEDIF($Q25,$S25,"M")+1)/2-$M25)))),0)-SUM($W25:BH25),0),0)</f>
        <v>0</v>
      </c>
      <c r="BJ25" s="68">
        <f>IF(AND(BJ$4&gt;=$Q25,BJ$4&lt;=$S25),MAX(IFERROR(($U25/(1+EXP(-$O25*((DATEDIF($Q25,BJ$4,"M")+1)-(DATEDIF($Q25,$S25,"M")+1)/2-$M25)))-$U25/(1+EXP(-$O25*((DATEDIF($Q25,BJ$4,"M"))-(DATEDIF($Q25,$S25,"M")+1)/2-$M25))))/(1/(1+EXP(-$O25*((DATEDIF($Q25,$S25,"M")+1)-(DATEDIF($Q25,$S25,"M")+1)/2-$M25)))-1/(1+EXP(-$O25*(-(DATEDIF($Q25,$S25,"M")+1)/2-$M25)))),0)+IFERROR(($U25/(1+EXP(-$O25*((DATEDIF($Q25,BI$4,"M")+1)-(DATEDIF($Q25,$S25,"M")+1)/2-$M25)))-$U25/(1+EXP(-$O25*(-(DATEDIF($Q25,$S25,"M")+1)/2-$M25))))/(1/(1+EXP(-$O25*((DATEDIF($Q25,$S25,"M")+1)-(DATEDIF($Q25,$S25,"M")+1)/2-$M25)))-1/(1+EXP(-$O25*(-(DATEDIF($Q25,$S25,"M")+1)/2-$M25)))),0)-SUM($W25:BI25),0),0)</f>
        <v>0</v>
      </c>
      <c r="BK25" s="68">
        <f>IF(AND(BK$4&gt;=$Q25,BK$4&lt;=$S25),MAX(IFERROR(($U25/(1+EXP(-$O25*((DATEDIF($Q25,BK$4,"M")+1)-(DATEDIF($Q25,$S25,"M")+1)/2-$M25)))-$U25/(1+EXP(-$O25*((DATEDIF($Q25,BK$4,"M"))-(DATEDIF($Q25,$S25,"M")+1)/2-$M25))))/(1/(1+EXP(-$O25*((DATEDIF($Q25,$S25,"M")+1)-(DATEDIF($Q25,$S25,"M")+1)/2-$M25)))-1/(1+EXP(-$O25*(-(DATEDIF($Q25,$S25,"M")+1)/2-$M25)))),0)+IFERROR(($U25/(1+EXP(-$O25*((DATEDIF($Q25,BJ$4,"M")+1)-(DATEDIF($Q25,$S25,"M")+1)/2-$M25)))-$U25/(1+EXP(-$O25*(-(DATEDIF($Q25,$S25,"M")+1)/2-$M25))))/(1/(1+EXP(-$O25*((DATEDIF($Q25,$S25,"M")+1)-(DATEDIF($Q25,$S25,"M")+1)/2-$M25)))-1/(1+EXP(-$O25*(-(DATEDIF($Q25,$S25,"M")+1)/2-$M25)))),0)-SUM($W25:BJ25),0),0)</f>
        <v>0</v>
      </c>
      <c r="BL25" s="68">
        <f>IF(AND(BL$4&gt;=$Q25,BL$4&lt;=$S25),MAX(IFERROR(($U25/(1+EXP(-$O25*((DATEDIF($Q25,BL$4,"M")+1)-(DATEDIF($Q25,$S25,"M")+1)/2-$M25)))-$U25/(1+EXP(-$O25*((DATEDIF($Q25,BL$4,"M"))-(DATEDIF($Q25,$S25,"M")+1)/2-$M25))))/(1/(1+EXP(-$O25*((DATEDIF($Q25,$S25,"M")+1)-(DATEDIF($Q25,$S25,"M")+1)/2-$M25)))-1/(1+EXP(-$O25*(-(DATEDIF($Q25,$S25,"M")+1)/2-$M25)))),0)+IFERROR(($U25/(1+EXP(-$O25*((DATEDIF($Q25,BK$4,"M")+1)-(DATEDIF($Q25,$S25,"M")+1)/2-$M25)))-$U25/(1+EXP(-$O25*(-(DATEDIF($Q25,$S25,"M")+1)/2-$M25))))/(1/(1+EXP(-$O25*((DATEDIF($Q25,$S25,"M")+1)-(DATEDIF($Q25,$S25,"M")+1)/2-$M25)))-1/(1+EXP(-$O25*(-(DATEDIF($Q25,$S25,"M")+1)/2-$M25)))),0)-SUM($W25:BK25),0),0)</f>
        <v>0</v>
      </c>
      <c r="BM25" s="68">
        <f>IF(AND(BM$4&gt;=$Q25,BM$4&lt;=$S25),MAX(IFERROR(($U25/(1+EXP(-$O25*((DATEDIF($Q25,BM$4,"M")+1)-(DATEDIF($Q25,$S25,"M")+1)/2-$M25)))-$U25/(1+EXP(-$O25*((DATEDIF($Q25,BM$4,"M"))-(DATEDIF($Q25,$S25,"M")+1)/2-$M25))))/(1/(1+EXP(-$O25*((DATEDIF($Q25,$S25,"M")+1)-(DATEDIF($Q25,$S25,"M")+1)/2-$M25)))-1/(1+EXP(-$O25*(-(DATEDIF($Q25,$S25,"M")+1)/2-$M25)))),0)+IFERROR(($U25/(1+EXP(-$O25*((DATEDIF($Q25,BL$4,"M")+1)-(DATEDIF($Q25,$S25,"M")+1)/2-$M25)))-$U25/(1+EXP(-$O25*(-(DATEDIF($Q25,$S25,"M")+1)/2-$M25))))/(1/(1+EXP(-$O25*((DATEDIF($Q25,$S25,"M")+1)-(DATEDIF($Q25,$S25,"M")+1)/2-$M25)))-1/(1+EXP(-$O25*(-(DATEDIF($Q25,$S25,"M")+1)/2-$M25)))),0)-SUM($W25:BL25),0),0)</f>
        <v>0</v>
      </c>
      <c r="BN25" s="68">
        <f>IF(AND(BN$4&gt;=$Q25,BN$4&lt;=$S25),MAX(IFERROR(($U25/(1+EXP(-$O25*((DATEDIF($Q25,BN$4,"M")+1)-(DATEDIF($Q25,$S25,"M")+1)/2-$M25)))-$U25/(1+EXP(-$O25*((DATEDIF($Q25,BN$4,"M"))-(DATEDIF($Q25,$S25,"M")+1)/2-$M25))))/(1/(1+EXP(-$O25*((DATEDIF($Q25,$S25,"M")+1)-(DATEDIF($Q25,$S25,"M")+1)/2-$M25)))-1/(1+EXP(-$O25*(-(DATEDIF($Q25,$S25,"M")+1)/2-$M25)))),0)+IFERROR(($U25/(1+EXP(-$O25*((DATEDIF($Q25,BM$4,"M")+1)-(DATEDIF($Q25,$S25,"M")+1)/2-$M25)))-$U25/(1+EXP(-$O25*(-(DATEDIF($Q25,$S25,"M")+1)/2-$M25))))/(1/(1+EXP(-$O25*((DATEDIF($Q25,$S25,"M")+1)-(DATEDIF($Q25,$S25,"M")+1)/2-$M25)))-1/(1+EXP(-$O25*(-(DATEDIF($Q25,$S25,"M")+1)/2-$M25)))),0)-SUM($W25:BM25),0),0)</f>
        <v>0</v>
      </c>
      <c r="BO25" s="68">
        <f>IF(AND(BO$4&gt;=$Q25,BO$4&lt;=$S25),MAX(IFERROR(($U25/(1+EXP(-$O25*((DATEDIF($Q25,BO$4,"M")+1)-(DATEDIF($Q25,$S25,"M")+1)/2-$M25)))-$U25/(1+EXP(-$O25*((DATEDIF($Q25,BO$4,"M"))-(DATEDIF($Q25,$S25,"M")+1)/2-$M25))))/(1/(1+EXP(-$O25*((DATEDIF($Q25,$S25,"M")+1)-(DATEDIF($Q25,$S25,"M")+1)/2-$M25)))-1/(1+EXP(-$O25*(-(DATEDIF($Q25,$S25,"M")+1)/2-$M25)))),0)+IFERROR(($U25/(1+EXP(-$O25*((DATEDIF($Q25,BN$4,"M")+1)-(DATEDIF($Q25,$S25,"M")+1)/2-$M25)))-$U25/(1+EXP(-$O25*(-(DATEDIF($Q25,$S25,"M")+1)/2-$M25))))/(1/(1+EXP(-$O25*((DATEDIF($Q25,$S25,"M")+1)-(DATEDIF($Q25,$S25,"M")+1)/2-$M25)))-1/(1+EXP(-$O25*(-(DATEDIF($Q25,$S25,"M")+1)/2-$M25)))),0)-SUM($W25:BN25),0),0)</f>
        <v>0</v>
      </c>
      <c r="BP25" s="68">
        <f>IF(AND(BP$4&gt;=$Q25,BP$4&lt;=$S25),MAX(IFERROR(($U25/(1+EXP(-$O25*((DATEDIF($Q25,BP$4,"M")+1)-(DATEDIF($Q25,$S25,"M")+1)/2-$M25)))-$U25/(1+EXP(-$O25*((DATEDIF($Q25,BP$4,"M"))-(DATEDIF($Q25,$S25,"M")+1)/2-$M25))))/(1/(1+EXP(-$O25*((DATEDIF($Q25,$S25,"M")+1)-(DATEDIF($Q25,$S25,"M")+1)/2-$M25)))-1/(1+EXP(-$O25*(-(DATEDIF($Q25,$S25,"M")+1)/2-$M25)))),0)+IFERROR(($U25/(1+EXP(-$O25*((DATEDIF($Q25,BO$4,"M")+1)-(DATEDIF($Q25,$S25,"M")+1)/2-$M25)))-$U25/(1+EXP(-$O25*(-(DATEDIF($Q25,$S25,"M")+1)/2-$M25))))/(1/(1+EXP(-$O25*((DATEDIF($Q25,$S25,"M")+1)-(DATEDIF($Q25,$S25,"M")+1)/2-$M25)))-1/(1+EXP(-$O25*(-(DATEDIF($Q25,$S25,"M")+1)/2-$M25)))),0)-SUM($W25:BO25),0),0)</f>
        <v>0</v>
      </c>
      <c r="BQ25" s="68">
        <f>IF(AND(BQ$4&gt;=$Q25,BQ$4&lt;=$S25),MAX(IFERROR(($U25/(1+EXP(-$O25*((DATEDIF($Q25,BQ$4,"M")+1)-(DATEDIF($Q25,$S25,"M")+1)/2-$M25)))-$U25/(1+EXP(-$O25*((DATEDIF($Q25,BQ$4,"M"))-(DATEDIF($Q25,$S25,"M")+1)/2-$M25))))/(1/(1+EXP(-$O25*((DATEDIF($Q25,$S25,"M")+1)-(DATEDIF($Q25,$S25,"M")+1)/2-$M25)))-1/(1+EXP(-$O25*(-(DATEDIF($Q25,$S25,"M")+1)/2-$M25)))),0)+IFERROR(($U25/(1+EXP(-$O25*((DATEDIF($Q25,BP$4,"M")+1)-(DATEDIF($Q25,$S25,"M")+1)/2-$M25)))-$U25/(1+EXP(-$O25*(-(DATEDIF($Q25,$S25,"M")+1)/2-$M25))))/(1/(1+EXP(-$O25*((DATEDIF($Q25,$S25,"M")+1)-(DATEDIF($Q25,$S25,"M")+1)/2-$M25)))-1/(1+EXP(-$O25*(-(DATEDIF($Q25,$S25,"M")+1)/2-$M25)))),0)-SUM($W25:BP25),0),0)</f>
        <v>0</v>
      </c>
      <c r="BR25" s="68">
        <f>IF(AND(BR$4&gt;=$Q25,BR$4&lt;=$S25),MAX(IFERROR(($U25/(1+EXP(-$O25*((DATEDIF($Q25,BR$4,"M")+1)-(DATEDIF($Q25,$S25,"M")+1)/2-$M25)))-$U25/(1+EXP(-$O25*((DATEDIF($Q25,BR$4,"M"))-(DATEDIF($Q25,$S25,"M")+1)/2-$M25))))/(1/(1+EXP(-$O25*((DATEDIF($Q25,$S25,"M")+1)-(DATEDIF($Q25,$S25,"M")+1)/2-$M25)))-1/(1+EXP(-$O25*(-(DATEDIF($Q25,$S25,"M")+1)/2-$M25)))),0)+IFERROR(($U25/(1+EXP(-$O25*((DATEDIF($Q25,BQ$4,"M")+1)-(DATEDIF($Q25,$S25,"M")+1)/2-$M25)))-$U25/(1+EXP(-$O25*(-(DATEDIF($Q25,$S25,"M")+1)/2-$M25))))/(1/(1+EXP(-$O25*((DATEDIF($Q25,$S25,"M")+1)-(DATEDIF($Q25,$S25,"M")+1)/2-$M25)))-1/(1+EXP(-$O25*(-(DATEDIF($Q25,$S25,"M")+1)/2-$M25)))),0)-SUM($W25:BQ25),0),0)</f>
        <v>0</v>
      </c>
      <c r="BS25" s="68">
        <f>IF(AND(BS$4&gt;=$Q25,BS$4&lt;=$S25),MAX(IFERROR(($U25/(1+EXP(-$O25*((DATEDIF($Q25,BS$4,"M")+1)-(DATEDIF($Q25,$S25,"M")+1)/2-$M25)))-$U25/(1+EXP(-$O25*((DATEDIF($Q25,BS$4,"M"))-(DATEDIF($Q25,$S25,"M")+1)/2-$M25))))/(1/(1+EXP(-$O25*((DATEDIF($Q25,$S25,"M")+1)-(DATEDIF($Q25,$S25,"M")+1)/2-$M25)))-1/(1+EXP(-$O25*(-(DATEDIF($Q25,$S25,"M")+1)/2-$M25)))),0)+IFERROR(($U25/(1+EXP(-$O25*((DATEDIF($Q25,BR$4,"M")+1)-(DATEDIF($Q25,$S25,"M")+1)/2-$M25)))-$U25/(1+EXP(-$O25*(-(DATEDIF($Q25,$S25,"M")+1)/2-$M25))))/(1/(1+EXP(-$O25*((DATEDIF($Q25,$S25,"M")+1)-(DATEDIF($Q25,$S25,"M")+1)/2-$M25)))-1/(1+EXP(-$O25*(-(DATEDIF($Q25,$S25,"M")+1)/2-$M25)))),0)-SUM($W25:BR25),0),0)</f>
        <v>0</v>
      </c>
    </row>
    <row r="26" spans="1:71" x14ac:dyDescent="0.2">
      <c r="A26" s="36" t="s">
        <v>41</v>
      </c>
      <c r="B26" s="37" t="s">
        <v>69</v>
      </c>
      <c r="C26" s="48"/>
      <c r="D26" s="70"/>
      <c r="E26" s="53"/>
      <c r="G26" s="37" t="s">
        <v>70</v>
      </c>
      <c r="L26" s="82"/>
      <c r="M26" s="51" t="s">
        <v>61</v>
      </c>
      <c r="N26" s="74" t="s">
        <v>62</v>
      </c>
      <c r="P26" s="77" t="s">
        <v>55</v>
      </c>
      <c r="Q26" s="53">
        <f>EDATE(Start_Date,1)</f>
        <v>44228</v>
      </c>
      <c r="R26" s="77" t="s">
        <v>56</v>
      </c>
      <c r="S26" s="53">
        <f>EDATE($S$17,1)</f>
        <v>44958</v>
      </c>
      <c r="T26" s="77" t="s">
        <v>57</v>
      </c>
      <c r="U26" s="52">
        <v>500000</v>
      </c>
      <c r="V26" s="81">
        <f>SUM(X26:BS26)</f>
        <v>500000</v>
      </c>
      <c r="X26" s="68">
        <f>IF(X$4&gt;=$Q26,$U26*(IF(X$4&lt;=$S26,1,0)+IFERROR((DATEDIF($Q26,MIN(--W$4,$S26),"M")+1),0)/IF($N26="Next mo.",1,IFERROR(DATEDIF(X$4,$S26,"M")+1,1)))/(DATEDIF($Q26,$S26,"M")+1)-SUM($W26:W26)/IF($N26="Next mo.",1,IFERROR(DATEDIF(X$4,$S26,"M")+1,1)),0)</f>
        <v>0</v>
      </c>
      <c r="Y26" s="68">
        <f>IF(Y$4&gt;=$Q26,$U26*(IF(Y$4&lt;=$S26,1,0)+IFERROR((DATEDIF($Q26,MIN(--X$4,$S26),"M")+1),0)/IF($N26="Next mo.",1,IFERROR(DATEDIF(Y$4,$S26,"M")+1,1)))/(DATEDIF($Q26,$S26,"M")+1)-SUM($W26:X26)/IF($N26="Next mo.",1,IFERROR(DATEDIF(Y$4,$S26,"M")+1,1)),0)</f>
        <v>20000</v>
      </c>
      <c r="Z26" s="68">
        <f>IF(Z$4&gt;=$Q26,$U26*(IF(Z$4&lt;=$S26,1,0)+IFERROR((DATEDIF($Q26,MIN(--Y$4,$S26),"M")+1),0)/IF($N26="Next mo.",1,IFERROR(DATEDIF(Z$4,$S26,"M")+1,1)))/(DATEDIF($Q26,$S26,"M")+1)-SUM($W26:Y26)/IF($N26="Next mo.",1,IFERROR(DATEDIF(Z$4,$S26,"M")+1,1)),0)</f>
        <v>20000.000000000004</v>
      </c>
      <c r="AA26" s="68">
        <f>IF(AA$4&gt;=$Q26,$U26*(IF(AA$4&lt;=$S26,1,0)+IFERROR((DATEDIF($Q26,MIN(--Z$4,$S26),"M")+1),0)/IF($N26="Next mo.",1,IFERROR(DATEDIF(AA$4,$S26,"M")+1,1)))/(DATEDIF($Q26,$S26,"M")+1)-SUM($W26:Z26)/IF($N26="Next mo.",1,IFERROR(DATEDIF(AA$4,$S26,"M")+1,1)),0)</f>
        <v>20000</v>
      </c>
      <c r="AB26" s="68">
        <f>IF(AB$4&gt;=$Q26,$U26*(IF(AB$4&lt;=$S26,1,0)+IFERROR((DATEDIF($Q26,MIN(--AA$4,$S26),"M")+1),0)/IF($N26="Next mo.",1,IFERROR(DATEDIF(AB$4,$S26,"M")+1,1)))/(DATEDIF($Q26,$S26,"M")+1)-SUM($W26:AA26)/IF($N26="Next mo.",1,IFERROR(DATEDIF(AB$4,$S26,"M")+1,1)),0)</f>
        <v>19999.999999999996</v>
      </c>
      <c r="AC26" s="68">
        <f>IF(AC$4&gt;=$Q26,$U26*(IF(AC$4&lt;=$S26,1,0)+IFERROR((DATEDIF($Q26,MIN(--AB$4,$S26),"M")+1),0)/IF($N26="Next mo.",1,IFERROR(DATEDIF(AC$4,$S26,"M")+1,1)))/(DATEDIF($Q26,$S26,"M")+1)-SUM($W26:AB26)/IF($N26="Next mo.",1,IFERROR(DATEDIF(AC$4,$S26,"M")+1,1)),0)</f>
        <v>20000</v>
      </c>
      <c r="AD26" s="68">
        <f>IF(AD$4&gt;=$Q26,$U26*(IF(AD$4&lt;=$S26,1,0)+IFERROR((DATEDIF($Q26,MIN(--AC$4,$S26),"M")+1),0)/IF($N26="Next mo.",1,IFERROR(DATEDIF(AD$4,$S26,"M")+1,1)))/(DATEDIF($Q26,$S26,"M")+1)-SUM($W26:AC26)/IF($N26="Next mo.",1,IFERROR(DATEDIF(AD$4,$S26,"M")+1,1)),0)</f>
        <v>20000</v>
      </c>
      <c r="AE26" s="68">
        <f>IF(AE$4&gt;=$Q26,$U26*(IF(AE$4&lt;=$S26,1,0)+IFERROR((DATEDIF($Q26,MIN(--AD$4,$S26),"M")+1),0)/IF($N26="Next mo.",1,IFERROR(DATEDIF(AE$4,$S26,"M")+1,1)))/(DATEDIF($Q26,$S26,"M")+1)-SUM($W26:AD26)/IF($N26="Next mo.",1,IFERROR(DATEDIF(AE$4,$S26,"M")+1,1)),0)</f>
        <v>20000</v>
      </c>
      <c r="AF26" s="68">
        <f>IF(AF$4&gt;=$Q26,$U26*(IF(AF$4&lt;=$S26,1,0)+IFERROR((DATEDIF($Q26,MIN(--AE$4,$S26),"M")+1),0)/IF($N26="Next mo.",1,IFERROR(DATEDIF(AF$4,$S26,"M")+1,1)))/(DATEDIF($Q26,$S26,"M")+1)-SUM($W26:AE26)/IF($N26="Next mo.",1,IFERROR(DATEDIF(AF$4,$S26,"M")+1,1)),0)</f>
        <v>19999.999999999996</v>
      </c>
      <c r="AG26" s="68">
        <f>IF(AG$4&gt;=$Q26,$U26*(IF(AG$4&lt;=$S26,1,0)+IFERROR((DATEDIF($Q26,MIN(--AF$4,$S26),"M")+1),0)/IF($N26="Next mo.",1,IFERROR(DATEDIF(AG$4,$S26,"M")+1,1)))/(DATEDIF($Q26,$S26,"M")+1)-SUM($W26:AF26)/IF($N26="Next mo.",1,IFERROR(DATEDIF(AG$4,$S26,"M")+1,1)),0)</f>
        <v>20000.000000000004</v>
      </c>
      <c r="AH26" s="68">
        <f>IF(AH$4&gt;=$Q26,$U26*(IF(AH$4&lt;=$S26,1,0)+IFERROR((DATEDIF($Q26,MIN(--AG$4,$S26),"M")+1),0)/IF($N26="Next mo.",1,IFERROR(DATEDIF(AH$4,$S26,"M")+1,1)))/(DATEDIF($Q26,$S26,"M")+1)-SUM($W26:AG26)/IF($N26="Next mo.",1,IFERROR(DATEDIF(AH$4,$S26,"M")+1,1)),0)</f>
        <v>20000</v>
      </c>
      <c r="AI26" s="68">
        <f>IF(AI$4&gt;=$Q26,$U26*(IF(AI$4&lt;=$S26,1,0)+IFERROR((DATEDIF($Q26,MIN(--AH$4,$S26),"M")+1),0)/IF($N26="Next mo.",1,IFERROR(DATEDIF(AI$4,$S26,"M")+1,1)))/(DATEDIF($Q26,$S26,"M")+1)-SUM($W26:AH26)/IF($N26="Next mo.",1,IFERROR(DATEDIF(AI$4,$S26,"M")+1,1)),0)</f>
        <v>19999.999999999993</v>
      </c>
      <c r="AJ26" s="68">
        <f>IF(AJ$4&gt;=$Q26,$U26*(IF(AJ$4&lt;=$S26,1,0)+IFERROR((DATEDIF($Q26,MIN(--AI$4,$S26),"M")+1),0)/IF($N26="Next mo.",1,IFERROR(DATEDIF(AJ$4,$S26,"M")+1,1)))/(DATEDIF($Q26,$S26,"M")+1)-SUM($W26:AI26)/IF($N26="Next mo.",1,IFERROR(DATEDIF(AJ$4,$S26,"M")+1,1)),0)</f>
        <v>19999.999999999996</v>
      </c>
      <c r="AK26" s="68">
        <f>IF(AK$4&gt;=$Q26,$U26*(IF(AK$4&lt;=$S26,1,0)+IFERROR((DATEDIF($Q26,MIN(--AJ$4,$S26),"M")+1),0)/IF($N26="Next mo.",1,IFERROR(DATEDIF(AK$4,$S26,"M")+1,1)))/(DATEDIF($Q26,$S26,"M")+1)-SUM($W26:AJ26)/IF($N26="Next mo.",1,IFERROR(DATEDIF(AK$4,$S26,"M")+1,1)),0)</f>
        <v>20000.000000000007</v>
      </c>
      <c r="AL26" s="68">
        <f>IF(AL$4&gt;=$Q26,$U26*(IF(AL$4&lt;=$S26,1,0)+IFERROR((DATEDIF($Q26,MIN(--AK$4,$S26),"M")+1),0)/IF($N26="Next mo.",1,IFERROR(DATEDIF(AL$4,$S26,"M")+1,1)))/(DATEDIF($Q26,$S26,"M")+1)-SUM($W26:AK26)/IF($N26="Next mo.",1,IFERROR(DATEDIF(AL$4,$S26,"M")+1,1)),0)</f>
        <v>19999.999999999989</v>
      </c>
      <c r="AM26" s="68">
        <f>IF(AM$4&gt;=$Q26,$U26*(IF(AM$4&lt;=$S26,1,0)+IFERROR((DATEDIF($Q26,MIN(--AL$4,$S26),"M")+1),0)/IF($N26="Next mo.",1,IFERROR(DATEDIF(AM$4,$S26,"M")+1,1)))/(DATEDIF($Q26,$S26,"M")+1)-SUM($W26:AL26)/IF($N26="Next mo.",1,IFERROR(DATEDIF(AM$4,$S26,"M")+1,1)),0)</f>
        <v>19999.999999999993</v>
      </c>
      <c r="AN26" s="68">
        <f>IF(AN$4&gt;=$Q26,$U26*(IF(AN$4&lt;=$S26,1,0)+IFERROR((DATEDIF($Q26,MIN(--AM$4,$S26),"M")+1),0)/IF($N26="Next mo.",1,IFERROR(DATEDIF(AN$4,$S26,"M")+1,1)))/(DATEDIF($Q26,$S26,"M")+1)-SUM($W26:AM26)/IF($N26="Next mo.",1,IFERROR(DATEDIF(AN$4,$S26,"M")+1,1)),0)</f>
        <v>20000</v>
      </c>
      <c r="AO26" s="68">
        <f>IF(AO$4&gt;=$Q26,$U26*(IF(AO$4&lt;=$S26,1,0)+IFERROR((DATEDIF($Q26,MIN(--AN$4,$S26),"M")+1),0)/IF($N26="Next mo.",1,IFERROR(DATEDIF(AO$4,$S26,"M")+1,1)))/(DATEDIF($Q26,$S26,"M")+1)-SUM($W26:AN26)/IF($N26="Next mo.",1,IFERROR(DATEDIF(AO$4,$S26,"M")+1,1)),0)</f>
        <v>19999.999999999993</v>
      </c>
      <c r="AP26" s="68">
        <f>IF(AP$4&gt;=$Q26,$U26*(IF(AP$4&lt;=$S26,1,0)+IFERROR((DATEDIF($Q26,MIN(--AO$4,$S26),"M")+1),0)/IF($N26="Next mo.",1,IFERROR(DATEDIF(AP$4,$S26,"M")+1,1)))/(DATEDIF($Q26,$S26,"M")+1)-SUM($W26:AO26)/IF($N26="Next mo.",1,IFERROR(DATEDIF(AP$4,$S26,"M")+1,1)),0)</f>
        <v>20000</v>
      </c>
      <c r="AQ26" s="68">
        <f>IF(AQ$4&gt;=$Q26,$U26*(IF(AQ$4&lt;=$S26,1,0)+IFERROR((DATEDIF($Q26,MIN(--AP$4,$S26),"M")+1),0)/IF($N26="Next mo.",1,IFERROR(DATEDIF(AQ$4,$S26,"M")+1,1)))/(DATEDIF($Q26,$S26,"M")+1)-SUM($W26:AP26)/IF($N26="Next mo.",1,IFERROR(DATEDIF(AQ$4,$S26,"M")+1,1)),0)</f>
        <v>20000.000000000007</v>
      </c>
      <c r="AR26" s="68">
        <f>IF(AR$4&gt;=$Q26,$U26*(IF(AR$4&lt;=$S26,1,0)+IFERROR((DATEDIF($Q26,MIN(--AQ$4,$S26),"M")+1),0)/IF($N26="Next mo.",1,IFERROR(DATEDIF(AR$4,$S26,"M")+1,1)))/(DATEDIF($Q26,$S26,"M")+1)-SUM($W26:AQ26)/IF($N26="Next mo.",1,IFERROR(DATEDIF(AR$4,$S26,"M")+1,1)),0)</f>
        <v>19999.999999999978</v>
      </c>
      <c r="AS26" s="68">
        <f>IF(AS$4&gt;=$Q26,$U26*(IF(AS$4&lt;=$S26,1,0)+IFERROR((DATEDIF($Q26,MIN(--AR$4,$S26),"M")+1),0)/IF($N26="Next mo.",1,IFERROR(DATEDIF(AS$4,$S26,"M")+1,1)))/(DATEDIF($Q26,$S26,"M")+1)-SUM($W26:AR26)/IF($N26="Next mo.",1,IFERROR(DATEDIF(AS$4,$S26,"M")+1,1)),0)</f>
        <v>20000</v>
      </c>
      <c r="AT26" s="68">
        <f>IF(AT$4&gt;=$Q26,$U26*(IF(AT$4&lt;=$S26,1,0)+IFERROR((DATEDIF($Q26,MIN(--AS$4,$S26),"M")+1),0)/IF($N26="Next mo.",1,IFERROR(DATEDIF(AT$4,$S26,"M")+1,1)))/(DATEDIF($Q26,$S26,"M")+1)-SUM($W26:AS26)/IF($N26="Next mo.",1,IFERROR(DATEDIF(AT$4,$S26,"M")+1,1)),0)</f>
        <v>20000</v>
      </c>
      <c r="AU26" s="68">
        <f>IF(AU$4&gt;=$Q26,$U26*(IF(AU$4&lt;=$S26,1,0)+IFERROR((DATEDIF($Q26,MIN(--AT$4,$S26),"M")+1),0)/IF($N26="Next mo.",1,IFERROR(DATEDIF(AU$4,$S26,"M")+1,1)))/(DATEDIF($Q26,$S26,"M")+1)-SUM($W26:AT26)/IF($N26="Next mo.",1,IFERROR(DATEDIF(AU$4,$S26,"M")+1,1)),0)</f>
        <v>19999.999999999971</v>
      </c>
      <c r="AV26" s="68">
        <f>IF(AV$4&gt;=$Q26,$U26*(IF(AV$4&lt;=$S26,1,0)+IFERROR((DATEDIF($Q26,MIN(--AU$4,$S26),"M")+1),0)/IF($N26="Next mo.",1,IFERROR(DATEDIF(AV$4,$S26,"M")+1,1)))/(DATEDIF($Q26,$S26,"M")+1)-SUM($W26:AU26)/IF($N26="Next mo.",1,IFERROR(DATEDIF(AV$4,$S26,"M")+1,1)),0)</f>
        <v>20000</v>
      </c>
      <c r="AW26" s="68">
        <f>IF(AW$4&gt;=$Q26,$U26*(IF(AW$4&lt;=$S26,1,0)+IFERROR((DATEDIF($Q26,MIN(--AV$4,$S26),"M")+1),0)/IF($N26="Next mo.",1,IFERROR(DATEDIF(AW$4,$S26,"M")+1,1)))/(DATEDIF($Q26,$S26,"M")+1)-SUM($W26:AV26)/IF($N26="Next mo.",1,IFERROR(DATEDIF(AW$4,$S26,"M")+1,1)),0)</f>
        <v>20000</v>
      </c>
      <c r="AX26" s="68">
        <f>IF(AX$4&gt;=$Q26,$U26*(IF(AX$4&lt;=$S26,1,0)+IFERROR((DATEDIF($Q26,MIN(--AW$4,$S26),"M")+1),0)/IF($N26="Next mo.",1,IFERROR(DATEDIF(AX$4,$S26,"M")+1,1)))/(DATEDIF($Q26,$S26,"M")+1)-SUM($W26:AW26)/IF($N26="Next mo.",1,IFERROR(DATEDIF(AX$4,$S26,"M")+1,1)),0)</f>
        <v>0</v>
      </c>
      <c r="AY26" s="68">
        <f>IF(AY$4&gt;=$Q26,$U26*(IF(AY$4&lt;=$S26,1,0)+IFERROR((DATEDIF($Q26,MIN(--AX$4,$S26),"M")+1),0)/IF($N26="Next mo.",1,IFERROR(DATEDIF(AY$4,$S26,"M")+1,1)))/(DATEDIF($Q26,$S26,"M")+1)-SUM($W26:AX26)/IF($N26="Next mo.",1,IFERROR(DATEDIF(AY$4,$S26,"M")+1,1)),0)</f>
        <v>0</v>
      </c>
      <c r="AZ26" s="68">
        <f>IF(AZ$4&gt;=$Q26,$U26*(IF(AZ$4&lt;=$S26,1,0)+IFERROR((DATEDIF($Q26,MIN(--AY$4,$S26),"M")+1),0)/IF($N26="Next mo.",1,IFERROR(DATEDIF(AZ$4,$S26,"M")+1,1)))/(DATEDIF($Q26,$S26,"M")+1)-SUM($W26:AY26)/IF($N26="Next mo.",1,IFERROR(DATEDIF(AZ$4,$S26,"M")+1,1)),0)</f>
        <v>0</v>
      </c>
      <c r="BA26" s="68">
        <f>IF(BA$4&gt;=$Q26,$U26*(IF(BA$4&lt;=$S26,1,0)+IFERROR((DATEDIF($Q26,MIN(--AZ$4,$S26),"M")+1),0)/IF($N26="Next mo.",1,IFERROR(DATEDIF(BA$4,$S26,"M")+1,1)))/(DATEDIF($Q26,$S26,"M")+1)-SUM($W26:AZ26)/IF($N26="Next mo.",1,IFERROR(DATEDIF(BA$4,$S26,"M")+1,1)),0)</f>
        <v>0</v>
      </c>
      <c r="BB26" s="68">
        <f>IF(BB$4&gt;=$Q26,$U26*(IF(BB$4&lt;=$S26,1,0)+IFERROR((DATEDIF($Q26,MIN(--BA$4,$S26),"M")+1),0)/IF($N26="Next mo.",1,IFERROR(DATEDIF(BB$4,$S26,"M")+1,1)))/(DATEDIF($Q26,$S26,"M")+1)-SUM($W26:BA26)/IF($N26="Next mo.",1,IFERROR(DATEDIF(BB$4,$S26,"M")+1,1)),0)</f>
        <v>0</v>
      </c>
      <c r="BC26" s="68">
        <f>IF(BC$4&gt;=$Q26,$U26*(IF(BC$4&lt;=$S26,1,0)+IFERROR((DATEDIF($Q26,MIN(--BB$4,$S26),"M")+1),0)/IF($N26="Next mo.",1,IFERROR(DATEDIF(BC$4,$S26,"M")+1,1)))/(DATEDIF($Q26,$S26,"M")+1)-SUM($W26:BB26)/IF($N26="Next mo.",1,IFERROR(DATEDIF(BC$4,$S26,"M")+1,1)),0)</f>
        <v>0</v>
      </c>
      <c r="BD26" s="68">
        <f>IF(BD$4&gt;=$Q26,$U26*(IF(BD$4&lt;=$S26,1,0)+IFERROR((DATEDIF($Q26,MIN(--BC$4,$S26),"M")+1),0)/IF($N26="Next mo.",1,IFERROR(DATEDIF(BD$4,$S26,"M")+1,1)))/(DATEDIF($Q26,$S26,"M")+1)-SUM($W26:BC26)/IF($N26="Next mo.",1,IFERROR(DATEDIF(BD$4,$S26,"M")+1,1)),0)</f>
        <v>0</v>
      </c>
      <c r="BE26" s="68">
        <f>IF(BE$4&gt;=$Q26,$U26*(IF(BE$4&lt;=$S26,1,0)+IFERROR((DATEDIF($Q26,MIN(--BD$4,$S26),"M")+1),0)/IF($N26="Next mo.",1,IFERROR(DATEDIF(BE$4,$S26,"M")+1,1)))/(DATEDIF($Q26,$S26,"M")+1)-SUM($W26:BD26)/IF($N26="Next mo.",1,IFERROR(DATEDIF(BE$4,$S26,"M")+1,1)),0)</f>
        <v>0</v>
      </c>
      <c r="BF26" s="68">
        <f>IF(BF$4&gt;=$Q26,$U26*(IF(BF$4&lt;=$S26,1,0)+IFERROR((DATEDIF($Q26,MIN(--BE$4,$S26),"M")+1),0)/IF($N26="Next mo.",1,IFERROR(DATEDIF(BF$4,$S26,"M")+1,1)))/(DATEDIF($Q26,$S26,"M")+1)-SUM($W26:BE26)/IF($N26="Next mo.",1,IFERROR(DATEDIF(BF$4,$S26,"M")+1,1)),0)</f>
        <v>0</v>
      </c>
      <c r="BG26" s="68">
        <f>IF(BG$4&gt;=$Q26,$U26*(IF(BG$4&lt;=$S26,1,0)+IFERROR((DATEDIF($Q26,MIN(--BF$4,$S26),"M")+1),0)/IF($N26="Next mo.",1,IFERROR(DATEDIF(BG$4,$S26,"M")+1,1)))/(DATEDIF($Q26,$S26,"M")+1)-SUM($W26:BF26)/IF($N26="Next mo.",1,IFERROR(DATEDIF(BG$4,$S26,"M")+1,1)),0)</f>
        <v>0</v>
      </c>
      <c r="BH26" s="68">
        <f>IF(BH$4&gt;=$Q26,$U26*(IF(BH$4&lt;=$S26,1,0)+IFERROR((DATEDIF($Q26,MIN(--BG$4,$S26),"M")+1),0)/IF($N26="Next mo.",1,IFERROR(DATEDIF(BH$4,$S26,"M")+1,1)))/(DATEDIF($Q26,$S26,"M")+1)-SUM($W26:BG26)/IF($N26="Next mo.",1,IFERROR(DATEDIF(BH$4,$S26,"M")+1,1)),0)</f>
        <v>0</v>
      </c>
      <c r="BI26" s="68">
        <f>IF(BI$4&gt;=$Q26,$U26*(IF(BI$4&lt;=$S26,1,0)+IFERROR((DATEDIF($Q26,MIN(--BH$4,$S26),"M")+1),0)/IF($N26="Next mo.",1,IFERROR(DATEDIF(BI$4,$S26,"M")+1,1)))/(DATEDIF($Q26,$S26,"M")+1)-SUM($W26:BH26)/IF($N26="Next mo.",1,IFERROR(DATEDIF(BI$4,$S26,"M")+1,1)),0)</f>
        <v>0</v>
      </c>
      <c r="BJ26" s="68">
        <f>IF(BJ$4&gt;=$Q26,$U26*(IF(BJ$4&lt;=$S26,1,0)+IFERROR((DATEDIF($Q26,MIN(--BI$4,$S26),"M")+1),0)/IF($N26="Next mo.",1,IFERROR(DATEDIF(BJ$4,$S26,"M")+1,1)))/(DATEDIF($Q26,$S26,"M")+1)-SUM($W26:BI26)/IF($N26="Next mo.",1,IFERROR(DATEDIF(BJ$4,$S26,"M")+1,1)),0)</f>
        <v>0</v>
      </c>
      <c r="BK26" s="68">
        <f>IF(BK$4&gt;=$Q26,$U26*(IF(BK$4&lt;=$S26,1,0)+IFERROR((DATEDIF($Q26,MIN(--BJ$4,$S26),"M")+1),0)/IF($N26="Next mo.",1,IFERROR(DATEDIF(BK$4,$S26,"M")+1,1)))/(DATEDIF($Q26,$S26,"M")+1)-SUM($W26:BJ26)/IF($N26="Next mo.",1,IFERROR(DATEDIF(BK$4,$S26,"M")+1,1)),0)</f>
        <v>0</v>
      </c>
      <c r="BL26" s="68">
        <f>IF(BL$4&gt;=$Q26,$U26*(IF(BL$4&lt;=$S26,1,0)+IFERROR((DATEDIF($Q26,MIN(--BK$4,$S26),"M")+1),0)/IF($N26="Next mo.",1,IFERROR(DATEDIF(BL$4,$S26,"M")+1,1)))/(DATEDIF($Q26,$S26,"M")+1)-SUM($W26:BK26)/IF($N26="Next mo.",1,IFERROR(DATEDIF(BL$4,$S26,"M")+1,1)),0)</f>
        <v>0</v>
      </c>
      <c r="BM26" s="68">
        <f>IF(BM$4&gt;=$Q26,$U26*(IF(BM$4&lt;=$S26,1,0)+IFERROR((DATEDIF($Q26,MIN(--BL$4,$S26),"M")+1),0)/IF($N26="Next mo.",1,IFERROR(DATEDIF(BM$4,$S26,"M")+1,1)))/(DATEDIF($Q26,$S26,"M")+1)-SUM($W26:BL26)/IF($N26="Next mo.",1,IFERROR(DATEDIF(BM$4,$S26,"M")+1,1)),0)</f>
        <v>0</v>
      </c>
      <c r="BN26" s="68">
        <f>IF(BN$4&gt;=$Q26,$U26*(IF(BN$4&lt;=$S26,1,0)+IFERROR((DATEDIF($Q26,MIN(--BM$4,$S26),"M")+1),0)/IF($N26="Next mo.",1,IFERROR(DATEDIF(BN$4,$S26,"M")+1,1)))/(DATEDIF($Q26,$S26,"M")+1)-SUM($W26:BM26)/IF($N26="Next mo.",1,IFERROR(DATEDIF(BN$4,$S26,"M")+1,1)),0)</f>
        <v>0</v>
      </c>
      <c r="BO26" s="68">
        <f>IF(BO$4&gt;=$Q26,$U26*(IF(BO$4&lt;=$S26,1,0)+IFERROR((DATEDIF($Q26,MIN(--BN$4,$S26),"M")+1),0)/IF($N26="Next mo.",1,IFERROR(DATEDIF(BO$4,$S26,"M")+1,1)))/(DATEDIF($Q26,$S26,"M")+1)-SUM($W26:BN26)/IF($N26="Next mo.",1,IFERROR(DATEDIF(BO$4,$S26,"M")+1,1)),0)</f>
        <v>0</v>
      </c>
      <c r="BP26" s="68">
        <f>IF(BP$4&gt;=$Q26,$U26*(IF(BP$4&lt;=$S26,1,0)+IFERROR((DATEDIF($Q26,MIN(--BO$4,$S26),"M")+1),0)/IF($N26="Next mo.",1,IFERROR(DATEDIF(BP$4,$S26,"M")+1,1)))/(DATEDIF($Q26,$S26,"M")+1)-SUM($W26:BO26)/IF($N26="Next mo.",1,IFERROR(DATEDIF(BP$4,$S26,"M")+1,1)),0)</f>
        <v>0</v>
      </c>
      <c r="BQ26" s="68">
        <f>IF(BQ$4&gt;=$Q26,$U26*(IF(BQ$4&lt;=$S26,1,0)+IFERROR((DATEDIF($Q26,MIN(--BP$4,$S26),"M")+1),0)/IF($N26="Next mo.",1,IFERROR(DATEDIF(BQ$4,$S26,"M")+1,1)))/(DATEDIF($Q26,$S26,"M")+1)-SUM($W26:BP26)/IF($N26="Next mo.",1,IFERROR(DATEDIF(BQ$4,$S26,"M")+1,1)),0)</f>
        <v>0</v>
      </c>
      <c r="BR26" s="68">
        <f>IF(BR$4&gt;=$Q26,$U26*(IF(BR$4&lt;=$S26,1,0)+IFERROR((DATEDIF($Q26,MIN(--BQ$4,$S26),"M")+1),0)/IF($N26="Next mo.",1,IFERROR(DATEDIF(BR$4,$S26,"M")+1,1)))/(DATEDIF($Q26,$S26,"M")+1)-SUM($W26:BQ26)/IF($N26="Next mo.",1,IFERROR(DATEDIF(BR$4,$S26,"M")+1,1)),0)</f>
        <v>0</v>
      </c>
      <c r="BS26" s="68">
        <f>IF(BS$4&gt;=$Q26,$U26*(IF(BS$4&lt;=$S26,1,0)+IFERROR((DATEDIF($Q26,MIN(--BR$4,$S26),"M")+1),0)/IF($N26="Next mo.",1,IFERROR(DATEDIF(BS$4,$S26,"M")+1,1)))/(DATEDIF($Q26,$S26,"M")+1)-SUM($W26:BR26)/IF($N26="Next mo.",1,IFERROR(DATEDIF(BS$4,$S26,"M")+1,1)),0)</f>
        <v>0</v>
      </c>
    </row>
    <row r="27" spans="1:71" s="35" customFormat="1" x14ac:dyDescent="0.2">
      <c r="A27" s="47" t="s">
        <v>41</v>
      </c>
      <c r="B27" s="35" t="s">
        <v>71</v>
      </c>
      <c r="C27" s="48"/>
      <c r="D27" s="70"/>
      <c r="E27" s="53"/>
      <c r="G27" s="35" t="s">
        <v>72</v>
      </c>
      <c r="I27" s="50"/>
      <c r="J27" s="51" t="s">
        <v>55</v>
      </c>
      <c r="K27" s="53">
        <f>EDATE(Gaussian_End,-2)</f>
        <v>44866</v>
      </c>
      <c r="L27" s="83" t="s">
        <v>56</v>
      </c>
      <c r="M27" s="53">
        <f>K27</f>
        <v>44866</v>
      </c>
      <c r="N27" s="83" t="s">
        <v>73</v>
      </c>
      <c r="O27" s="52">
        <v>150000</v>
      </c>
      <c r="P27" s="51" t="s">
        <v>55</v>
      </c>
      <c r="Q27" s="53">
        <f>EDATE(Gaussian_Start,-2)</f>
        <v>44256</v>
      </c>
      <c r="R27" s="51" t="s">
        <v>56</v>
      </c>
      <c r="S27" s="53">
        <f>Q27</f>
        <v>44256</v>
      </c>
      <c r="T27" s="51" t="s">
        <v>73</v>
      </c>
      <c r="U27" s="52">
        <v>150000</v>
      </c>
      <c r="V27" s="54">
        <f>SUM(X27:BS27)</f>
        <v>300000</v>
      </c>
      <c r="X27" s="55">
        <f t="shared" ref="X27:BS27" si="3">IF(AND(X$4&gt;=$Q27,X$4&lt;=$S27),$U27,0)+IF(AND(X$4&gt;=$K27,X$4&lt;=$M27),$O27,0)</f>
        <v>0</v>
      </c>
      <c r="Y27" s="55">
        <f t="shared" si="3"/>
        <v>0</v>
      </c>
      <c r="Z27" s="55">
        <f t="shared" si="3"/>
        <v>150000</v>
      </c>
      <c r="AA27" s="55">
        <f t="shared" si="3"/>
        <v>0</v>
      </c>
      <c r="AB27" s="55">
        <f t="shared" si="3"/>
        <v>0</v>
      </c>
      <c r="AC27" s="55">
        <f t="shared" si="3"/>
        <v>0</v>
      </c>
      <c r="AD27" s="55">
        <f t="shared" si="3"/>
        <v>0</v>
      </c>
      <c r="AE27" s="55">
        <f t="shared" si="3"/>
        <v>0</v>
      </c>
      <c r="AF27" s="55">
        <f t="shared" si="3"/>
        <v>0</v>
      </c>
      <c r="AG27" s="55">
        <f t="shared" si="3"/>
        <v>0</v>
      </c>
      <c r="AH27" s="55">
        <f t="shared" si="3"/>
        <v>0</v>
      </c>
      <c r="AI27" s="55">
        <f t="shared" si="3"/>
        <v>0</v>
      </c>
      <c r="AJ27" s="55">
        <f t="shared" si="3"/>
        <v>0</v>
      </c>
      <c r="AK27" s="55">
        <f t="shared" si="3"/>
        <v>0</v>
      </c>
      <c r="AL27" s="55">
        <f t="shared" si="3"/>
        <v>0</v>
      </c>
      <c r="AM27" s="55">
        <f t="shared" si="3"/>
        <v>0</v>
      </c>
      <c r="AN27" s="55">
        <f t="shared" si="3"/>
        <v>0</v>
      </c>
      <c r="AO27" s="55">
        <f t="shared" si="3"/>
        <v>0</v>
      </c>
      <c r="AP27" s="55">
        <f t="shared" si="3"/>
        <v>0</v>
      </c>
      <c r="AQ27" s="55">
        <f t="shared" si="3"/>
        <v>0</v>
      </c>
      <c r="AR27" s="55">
        <f t="shared" si="3"/>
        <v>0</v>
      </c>
      <c r="AS27" s="55">
        <f t="shared" si="3"/>
        <v>0</v>
      </c>
      <c r="AT27" s="55">
        <f t="shared" si="3"/>
        <v>150000</v>
      </c>
      <c r="AU27" s="55">
        <f t="shared" si="3"/>
        <v>0</v>
      </c>
      <c r="AV27" s="55">
        <f t="shared" si="3"/>
        <v>0</v>
      </c>
      <c r="AW27" s="55">
        <f t="shared" si="3"/>
        <v>0</v>
      </c>
      <c r="AX27" s="55">
        <f t="shared" si="3"/>
        <v>0</v>
      </c>
      <c r="AY27" s="55">
        <f t="shared" si="3"/>
        <v>0</v>
      </c>
      <c r="AZ27" s="55">
        <f t="shared" si="3"/>
        <v>0</v>
      </c>
      <c r="BA27" s="55">
        <f t="shared" si="3"/>
        <v>0</v>
      </c>
      <c r="BB27" s="55">
        <f t="shared" si="3"/>
        <v>0</v>
      </c>
      <c r="BC27" s="55">
        <f t="shared" si="3"/>
        <v>0</v>
      </c>
      <c r="BD27" s="55">
        <f t="shared" si="3"/>
        <v>0</v>
      </c>
      <c r="BE27" s="55">
        <f t="shared" si="3"/>
        <v>0</v>
      </c>
      <c r="BF27" s="55">
        <f t="shared" si="3"/>
        <v>0</v>
      </c>
      <c r="BG27" s="55">
        <f t="shared" si="3"/>
        <v>0</v>
      </c>
      <c r="BH27" s="55">
        <f t="shared" si="3"/>
        <v>0</v>
      </c>
      <c r="BI27" s="55">
        <f t="shared" si="3"/>
        <v>0</v>
      </c>
      <c r="BJ27" s="55">
        <f t="shared" si="3"/>
        <v>0</v>
      </c>
      <c r="BK27" s="55">
        <f t="shared" si="3"/>
        <v>0</v>
      </c>
      <c r="BL27" s="55">
        <f t="shared" si="3"/>
        <v>0</v>
      </c>
      <c r="BM27" s="55">
        <f t="shared" si="3"/>
        <v>0</v>
      </c>
      <c r="BN27" s="55">
        <f t="shared" si="3"/>
        <v>0</v>
      </c>
      <c r="BO27" s="55">
        <f t="shared" si="3"/>
        <v>0</v>
      </c>
      <c r="BP27" s="55">
        <f t="shared" si="3"/>
        <v>0</v>
      </c>
      <c r="BQ27" s="55">
        <f t="shared" si="3"/>
        <v>0</v>
      </c>
      <c r="BR27" s="55">
        <f t="shared" si="3"/>
        <v>0</v>
      </c>
      <c r="BS27" s="55">
        <f t="shared" si="3"/>
        <v>0</v>
      </c>
    </row>
    <row r="28" spans="1:71" s="38" customFormat="1" x14ac:dyDescent="0.2">
      <c r="A28" s="43" t="s">
        <v>41</v>
      </c>
      <c r="B28" s="38" t="s">
        <v>74</v>
      </c>
      <c r="C28" s="75"/>
      <c r="D28" s="75"/>
      <c r="G28" s="57" t="str">
        <f>"Total "&amp;G24</f>
        <v>Total Technical Expenses</v>
      </c>
      <c r="I28" s="76"/>
      <c r="V28" s="59">
        <f ca="1">SUM(X28:BS28)</f>
        <v>1549999.9999999995</v>
      </c>
      <c r="W28" s="57"/>
      <c r="X28" s="60">
        <f ca="1">SUBTOTAL(9,OFFSET(X24,1,0):OFFSET(X28,-1,0))</f>
        <v>0</v>
      </c>
      <c r="Y28" s="60">
        <f ca="1">SUBTOTAL(9,OFFSET(Y24,1,0):OFFSET(Y28,-1,0))</f>
        <v>20000</v>
      </c>
      <c r="Z28" s="60">
        <f ca="1">SUBTOTAL(9,OFFSET(Z24,1,0):OFFSET(Z28,-1,0))</f>
        <v>170000</v>
      </c>
      <c r="AA28" s="60">
        <f ca="1">SUBTOTAL(9,OFFSET(AA24,1,0):OFFSET(AA28,-1,0))</f>
        <v>20000</v>
      </c>
      <c r="AB28" s="60">
        <f ca="1">SUBTOTAL(9,OFFSET(AB24,1,0):OFFSET(AB28,-1,0))</f>
        <v>43149.357206480883</v>
      </c>
      <c r="AC28" s="60">
        <f ca="1">SUBTOTAL(9,OFFSET(AC24,1,0):OFFSET(AC28,-1,0))</f>
        <v>47800.240092327265</v>
      </c>
      <c r="AD28" s="60">
        <f ca="1">SUBTOTAL(9,OFFSET(AD24,1,0):OFFSET(AD28,-1,0))</f>
        <v>52861.674275056328</v>
      </c>
      <c r="AE28" s="60">
        <f ca="1">SUBTOTAL(9,OFFSET(AE24,1,0):OFFSET(AE28,-1,0))</f>
        <v>58126.194371550533</v>
      </c>
      <c r="AF28" s="60">
        <f ca="1">SUBTOTAL(9,OFFSET(AF24,1,0):OFFSET(AF28,-1,0))</f>
        <v>63287.747738677179</v>
      </c>
      <c r="AG28" s="60">
        <f ca="1">SUBTOTAL(9,OFFSET(AG24,1,0):OFFSET(AG28,-1,0))</f>
        <v>67957.686495343893</v>
      </c>
      <c r="AH28" s="60">
        <f ca="1">SUBTOTAL(9,OFFSET(AH24,1,0):OFFSET(AH28,-1,0))</f>
        <v>71709.442633361497</v>
      </c>
      <c r="AI28" s="60">
        <f ca="1">SUBTOTAL(9,OFFSET(AI24,1,0):OFFSET(AI28,-1,0))</f>
        <v>74149.13778514351</v>
      </c>
      <c r="AJ28" s="60">
        <f ca="1">SUBTOTAL(9,OFFSET(AJ24,1,0):OFFSET(AJ28,-1,0))</f>
        <v>74996.320304009831</v>
      </c>
      <c r="AK28" s="60">
        <f ca="1">SUBTOTAL(9,OFFSET(AK24,1,0):OFFSET(AK28,-1,0))</f>
        <v>74149.137785143394</v>
      </c>
      <c r="AL28" s="60">
        <f ca="1">SUBTOTAL(9,OFFSET(AL24,1,0):OFFSET(AL28,-1,0))</f>
        <v>71709.442633361599</v>
      </c>
      <c r="AM28" s="60">
        <f ca="1">SUBTOTAL(9,OFFSET(AM24,1,0):OFFSET(AM28,-1,0))</f>
        <v>67957.686495343805</v>
      </c>
      <c r="AN28" s="60">
        <f ca="1">SUBTOTAL(9,OFFSET(AN24,1,0):OFFSET(AN28,-1,0))</f>
        <v>63287.747738677193</v>
      </c>
      <c r="AO28" s="60">
        <f ca="1">SUBTOTAL(9,OFFSET(AO24,1,0):OFFSET(AO28,-1,0))</f>
        <v>58126.194371550686</v>
      </c>
      <c r="AP28" s="60">
        <f ca="1">SUBTOTAL(9,OFFSET(AP24,1,0):OFFSET(AP28,-1,0))</f>
        <v>52861.674275056226</v>
      </c>
      <c r="AQ28" s="60">
        <f ca="1">SUBTOTAL(9,OFFSET(AQ24,1,0):OFFSET(AQ28,-1,0))</f>
        <v>47800.240092327243</v>
      </c>
      <c r="AR28" s="60">
        <f ca="1">SUBTOTAL(9,OFFSET(AR24,1,0):OFFSET(AR28,-1,0))</f>
        <v>43149.357206480905</v>
      </c>
      <c r="AS28" s="60">
        <f ca="1">SUBTOTAL(9,OFFSET(AS24,1,0):OFFSET(AS28,-1,0))</f>
        <v>39024.024081931333</v>
      </c>
      <c r="AT28" s="60">
        <f ca="1">SUBTOTAL(9,OFFSET(AT24,1,0):OFFSET(AT28,-1,0))</f>
        <v>185465.14349743549</v>
      </c>
      <c r="AU28" s="60">
        <f ca="1">SUBTOTAL(9,OFFSET(AU24,1,0):OFFSET(AU28,-1,0))</f>
        <v>32461.525918897911</v>
      </c>
      <c r="AV28" s="60">
        <f ca="1">SUBTOTAL(9,OFFSET(AV24,1,0):OFFSET(AV28,-1,0))</f>
        <v>29970.025001843343</v>
      </c>
      <c r="AW28" s="60">
        <f ca="1">SUBTOTAL(9,OFFSET(AW24,1,0):OFFSET(AW28,-1,0))</f>
        <v>20000</v>
      </c>
      <c r="AX28" s="60">
        <f ca="1">SUBTOTAL(9,OFFSET(AX24,1,0):OFFSET(AX28,-1,0))</f>
        <v>0</v>
      </c>
      <c r="AY28" s="60">
        <f ca="1">SUBTOTAL(9,OFFSET(AY24,1,0):OFFSET(AY28,-1,0))</f>
        <v>0</v>
      </c>
      <c r="AZ28" s="60">
        <f ca="1">SUBTOTAL(9,OFFSET(AZ24,1,0):OFFSET(AZ28,-1,0))</f>
        <v>0</v>
      </c>
      <c r="BA28" s="60">
        <f ca="1">SUBTOTAL(9,OFFSET(BA24,1,0):OFFSET(BA28,-1,0))</f>
        <v>0</v>
      </c>
      <c r="BB28" s="60">
        <f ca="1">SUBTOTAL(9,OFFSET(BB24,1,0):OFFSET(BB28,-1,0))</f>
        <v>0</v>
      </c>
      <c r="BC28" s="60">
        <f ca="1">SUBTOTAL(9,OFFSET(BC24,1,0):OFFSET(BC28,-1,0))</f>
        <v>0</v>
      </c>
      <c r="BD28" s="60">
        <f ca="1">SUBTOTAL(9,OFFSET(BD24,1,0):OFFSET(BD28,-1,0))</f>
        <v>0</v>
      </c>
      <c r="BE28" s="60">
        <f ca="1">SUBTOTAL(9,OFFSET(BE24,1,0):OFFSET(BE28,-1,0))</f>
        <v>0</v>
      </c>
      <c r="BF28" s="60">
        <f ca="1">SUBTOTAL(9,OFFSET(BF24,1,0):OFFSET(BF28,-1,0))</f>
        <v>0</v>
      </c>
      <c r="BG28" s="60">
        <f ca="1">SUBTOTAL(9,OFFSET(BG24,1,0):OFFSET(BG28,-1,0))</f>
        <v>0</v>
      </c>
      <c r="BH28" s="60">
        <f ca="1">SUBTOTAL(9,OFFSET(BH24,1,0):OFFSET(BH28,-1,0))</f>
        <v>0</v>
      </c>
      <c r="BI28" s="60">
        <f ca="1">SUBTOTAL(9,OFFSET(BI24,1,0):OFFSET(BI28,-1,0))</f>
        <v>0</v>
      </c>
      <c r="BJ28" s="60">
        <f ca="1">SUBTOTAL(9,OFFSET(BJ24,1,0):OFFSET(BJ28,-1,0))</f>
        <v>0</v>
      </c>
      <c r="BK28" s="60">
        <f ca="1">SUBTOTAL(9,OFFSET(BK24,1,0):OFFSET(BK28,-1,0))</f>
        <v>0</v>
      </c>
      <c r="BL28" s="60">
        <f ca="1">SUBTOTAL(9,OFFSET(BL24,1,0):OFFSET(BL28,-1,0))</f>
        <v>0</v>
      </c>
      <c r="BM28" s="60">
        <f ca="1">SUBTOTAL(9,OFFSET(BM24,1,0):OFFSET(BM28,-1,0))</f>
        <v>0</v>
      </c>
      <c r="BN28" s="60">
        <f ca="1">SUBTOTAL(9,OFFSET(BN24,1,0):OFFSET(BN28,-1,0))</f>
        <v>0</v>
      </c>
      <c r="BO28" s="60">
        <f ca="1">SUBTOTAL(9,OFFSET(BO24,1,0):OFFSET(BO28,-1,0))</f>
        <v>0</v>
      </c>
      <c r="BP28" s="60">
        <f ca="1">SUBTOTAL(9,OFFSET(BP24,1,0):OFFSET(BP28,-1,0))</f>
        <v>0</v>
      </c>
      <c r="BQ28" s="60">
        <f ca="1">SUBTOTAL(9,OFFSET(BQ24,1,0):OFFSET(BQ28,-1,0))</f>
        <v>0</v>
      </c>
      <c r="BR28" s="60">
        <f ca="1">SUBTOTAL(9,OFFSET(BR24,1,0):OFFSET(BR28,-1,0))</f>
        <v>0</v>
      </c>
      <c r="BS28" s="60">
        <f ca="1">SUBTOTAL(9,OFFSET(BS24,1,0):OFFSET(BS28,-1,0))</f>
        <v>0</v>
      </c>
    </row>
    <row r="29" spans="1:71" x14ac:dyDescent="0.2">
      <c r="C29" s="61"/>
      <c r="D29" s="61"/>
      <c r="P29" s="38"/>
      <c r="R29" s="38"/>
      <c r="T29" s="38"/>
      <c r="V29" s="69"/>
    </row>
    <row r="30" spans="1:71" x14ac:dyDescent="0.2">
      <c r="A30" s="36" t="s">
        <v>39</v>
      </c>
      <c r="C30" s="61"/>
      <c r="D30" s="61"/>
      <c r="G30" s="38" t="s">
        <v>75</v>
      </c>
      <c r="P30" s="38"/>
      <c r="R30" s="38"/>
      <c r="T30" s="77"/>
      <c r="V30" s="69"/>
      <c r="Y30" s="68"/>
      <c r="Z30" s="78"/>
      <c r="AA30" s="78"/>
      <c r="AB30" s="78"/>
      <c r="AC30" s="84"/>
      <c r="AD30" s="68"/>
      <c r="AE30" s="78"/>
      <c r="AF30" s="78"/>
      <c r="AG30" s="78"/>
      <c r="AH30" s="78"/>
      <c r="AI30" s="78"/>
      <c r="AJ30" s="78"/>
      <c r="AK30" s="78"/>
      <c r="AL30" s="78"/>
      <c r="AM30" s="78"/>
      <c r="AN30" s="78"/>
      <c r="AO30" s="78"/>
      <c r="AP30" s="78"/>
      <c r="AQ30" s="78"/>
      <c r="AR30" s="78"/>
      <c r="AS30" s="78"/>
      <c r="AT30" s="78"/>
      <c r="AU30" s="78"/>
      <c r="AV30" s="78"/>
      <c r="AW30" s="78"/>
    </row>
    <row r="31" spans="1:71" x14ac:dyDescent="0.2">
      <c r="A31" s="36" t="s">
        <v>41</v>
      </c>
      <c r="B31" s="37" t="s">
        <v>76</v>
      </c>
      <c r="C31" s="48"/>
      <c r="D31" s="70"/>
      <c r="E31" s="53"/>
      <c r="G31" s="37" t="s">
        <v>77</v>
      </c>
      <c r="J31" s="85" t="s">
        <v>55</v>
      </c>
      <c r="K31" s="53"/>
      <c r="L31" s="77" t="s">
        <v>56</v>
      </c>
      <c r="M31" s="53"/>
      <c r="N31" s="77" t="s">
        <v>73</v>
      </c>
      <c r="O31" s="52"/>
      <c r="P31" s="77" t="s">
        <v>55</v>
      </c>
      <c r="Q31" s="53">
        <f>EDATE($Q$17,-1)</f>
        <v>44287</v>
      </c>
      <c r="R31" s="77" t="s">
        <v>56</v>
      </c>
      <c r="S31" s="53">
        <f>EDATE(U9,-1)</f>
        <v>44958</v>
      </c>
      <c r="T31" s="77" t="s">
        <v>73</v>
      </c>
      <c r="U31" s="52">
        <v>10000</v>
      </c>
      <c r="V31" s="81">
        <f>SUM(X31:BS31)</f>
        <v>230000</v>
      </c>
      <c r="X31" s="68">
        <f t="shared" ref="X31:BS33" si="4">IF(AND(X$4&gt;=$Q31,X$4&lt;=$S31),$U31,0)+IF(AND(X$4&gt;=$K31,X$4&lt;=$M31),$O31,0)</f>
        <v>0</v>
      </c>
      <c r="Y31" s="68">
        <f t="shared" si="4"/>
        <v>0</v>
      </c>
      <c r="Z31" s="68">
        <f t="shared" si="4"/>
        <v>0</v>
      </c>
      <c r="AA31" s="68">
        <f t="shared" si="4"/>
        <v>10000</v>
      </c>
      <c r="AB31" s="68">
        <f t="shared" si="4"/>
        <v>10000</v>
      </c>
      <c r="AC31" s="68">
        <f t="shared" si="4"/>
        <v>10000</v>
      </c>
      <c r="AD31" s="68">
        <f t="shared" si="4"/>
        <v>10000</v>
      </c>
      <c r="AE31" s="68">
        <f t="shared" si="4"/>
        <v>10000</v>
      </c>
      <c r="AF31" s="68">
        <f t="shared" si="4"/>
        <v>10000</v>
      </c>
      <c r="AG31" s="68">
        <f t="shared" si="4"/>
        <v>10000</v>
      </c>
      <c r="AH31" s="68">
        <f t="shared" si="4"/>
        <v>10000</v>
      </c>
      <c r="AI31" s="68">
        <f t="shared" si="4"/>
        <v>10000</v>
      </c>
      <c r="AJ31" s="68">
        <f t="shared" si="4"/>
        <v>10000</v>
      </c>
      <c r="AK31" s="68">
        <f t="shared" si="4"/>
        <v>10000</v>
      </c>
      <c r="AL31" s="68">
        <f t="shared" si="4"/>
        <v>10000</v>
      </c>
      <c r="AM31" s="68">
        <f t="shared" si="4"/>
        <v>10000</v>
      </c>
      <c r="AN31" s="68">
        <f t="shared" si="4"/>
        <v>10000</v>
      </c>
      <c r="AO31" s="68">
        <f t="shared" si="4"/>
        <v>10000</v>
      </c>
      <c r="AP31" s="68">
        <f t="shared" si="4"/>
        <v>10000</v>
      </c>
      <c r="AQ31" s="68">
        <f t="shared" si="4"/>
        <v>10000</v>
      </c>
      <c r="AR31" s="68">
        <f t="shared" si="4"/>
        <v>10000</v>
      </c>
      <c r="AS31" s="68">
        <f t="shared" si="4"/>
        <v>10000</v>
      </c>
      <c r="AT31" s="68">
        <f t="shared" si="4"/>
        <v>10000</v>
      </c>
      <c r="AU31" s="68">
        <f t="shared" si="4"/>
        <v>10000</v>
      </c>
      <c r="AV31" s="68">
        <f t="shared" si="4"/>
        <v>10000</v>
      </c>
      <c r="AW31" s="68">
        <f t="shared" si="4"/>
        <v>10000</v>
      </c>
      <c r="AX31" s="68">
        <f t="shared" si="4"/>
        <v>0</v>
      </c>
      <c r="AY31" s="68">
        <f t="shared" si="4"/>
        <v>0</v>
      </c>
      <c r="AZ31" s="68">
        <f t="shared" si="4"/>
        <v>0</v>
      </c>
      <c r="BA31" s="68">
        <f t="shared" si="4"/>
        <v>0</v>
      </c>
      <c r="BB31" s="68">
        <f t="shared" si="4"/>
        <v>0</v>
      </c>
      <c r="BC31" s="68">
        <f t="shared" si="4"/>
        <v>0</v>
      </c>
      <c r="BD31" s="68">
        <f t="shared" si="4"/>
        <v>0</v>
      </c>
      <c r="BE31" s="68">
        <f t="shared" si="4"/>
        <v>0</v>
      </c>
      <c r="BF31" s="68">
        <f t="shared" si="4"/>
        <v>0</v>
      </c>
      <c r="BG31" s="68">
        <f t="shared" si="4"/>
        <v>0</v>
      </c>
      <c r="BH31" s="68">
        <f t="shared" si="4"/>
        <v>0</v>
      </c>
      <c r="BI31" s="68">
        <f t="shared" si="4"/>
        <v>0</v>
      </c>
      <c r="BJ31" s="68">
        <f t="shared" si="4"/>
        <v>0</v>
      </c>
      <c r="BK31" s="68">
        <f t="shared" si="4"/>
        <v>0</v>
      </c>
      <c r="BL31" s="68">
        <f t="shared" si="4"/>
        <v>0</v>
      </c>
      <c r="BM31" s="68">
        <f t="shared" si="4"/>
        <v>0</v>
      </c>
      <c r="BN31" s="68">
        <f t="shared" si="4"/>
        <v>0</v>
      </c>
      <c r="BO31" s="68">
        <f t="shared" si="4"/>
        <v>0</v>
      </c>
      <c r="BP31" s="68">
        <f t="shared" si="4"/>
        <v>0</v>
      </c>
      <c r="BQ31" s="68">
        <f t="shared" si="4"/>
        <v>0</v>
      </c>
      <c r="BR31" s="68">
        <f t="shared" si="4"/>
        <v>0</v>
      </c>
      <c r="BS31" s="68">
        <f t="shared" si="4"/>
        <v>0</v>
      </c>
    </row>
    <row r="32" spans="1:71" x14ac:dyDescent="0.2">
      <c r="A32" s="36" t="s">
        <v>41</v>
      </c>
      <c r="B32" s="37" t="s">
        <v>78</v>
      </c>
      <c r="C32" s="48"/>
      <c r="D32" s="70"/>
      <c r="E32" s="53"/>
      <c r="G32" s="37" t="s">
        <v>79</v>
      </c>
      <c r="J32" s="85" t="s">
        <v>55</v>
      </c>
      <c r="K32" s="53"/>
      <c r="L32" s="77" t="s">
        <v>56</v>
      </c>
      <c r="M32" s="53"/>
      <c r="N32" s="77" t="s">
        <v>73</v>
      </c>
      <c r="O32" s="52"/>
      <c r="P32" s="77" t="s">
        <v>55</v>
      </c>
      <c r="Q32" s="53">
        <f>EDATE($Q$17,-1)</f>
        <v>44287</v>
      </c>
      <c r="R32" s="77" t="s">
        <v>56</v>
      </c>
      <c r="S32" s="53">
        <f>EDATE(U9,-1)</f>
        <v>44958</v>
      </c>
      <c r="T32" s="77" t="s">
        <v>73</v>
      </c>
      <c r="U32" s="52">
        <v>10000</v>
      </c>
      <c r="V32" s="81">
        <f>SUM(X32:BS32)</f>
        <v>230000</v>
      </c>
      <c r="X32" s="68">
        <f t="shared" si="4"/>
        <v>0</v>
      </c>
      <c r="Y32" s="68">
        <f t="shared" si="4"/>
        <v>0</v>
      </c>
      <c r="Z32" s="68">
        <f t="shared" si="4"/>
        <v>0</v>
      </c>
      <c r="AA32" s="68">
        <f t="shared" si="4"/>
        <v>10000</v>
      </c>
      <c r="AB32" s="68">
        <f t="shared" si="4"/>
        <v>10000</v>
      </c>
      <c r="AC32" s="68">
        <f t="shared" si="4"/>
        <v>10000</v>
      </c>
      <c r="AD32" s="68">
        <f t="shared" si="4"/>
        <v>10000</v>
      </c>
      <c r="AE32" s="68">
        <f t="shared" si="4"/>
        <v>10000</v>
      </c>
      <c r="AF32" s="68">
        <f t="shared" si="4"/>
        <v>10000</v>
      </c>
      <c r="AG32" s="68">
        <f t="shared" si="4"/>
        <v>10000</v>
      </c>
      <c r="AH32" s="68">
        <f t="shared" si="4"/>
        <v>10000</v>
      </c>
      <c r="AI32" s="68">
        <f t="shared" si="4"/>
        <v>10000</v>
      </c>
      <c r="AJ32" s="68">
        <f t="shared" si="4"/>
        <v>10000</v>
      </c>
      <c r="AK32" s="68">
        <f t="shared" si="4"/>
        <v>10000</v>
      </c>
      <c r="AL32" s="68">
        <f t="shared" si="4"/>
        <v>10000</v>
      </c>
      <c r="AM32" s="68">
        <f t="shared" si="4"/>
        <v>10000</v>
      </c>
      <c r="AN32" s="68">
        <f t="shared" si="4"/>
        <v>10000</v>
      </c>
      <c r="AO32" s="68">
        <f t="shared" si="4"/>
        <v>10000</v>
      </c>
      <c r="AP32" s="68">
        <f t="shared" si="4"/>
        <v>10000</v>
      </c>
      <c r="AQ32" s="68">
        <f t="shared" si="4"/>
        <v>10000</v>
      </c>
      <c r="AR32" s="68">
        <f t="shared" si="4"/>
        <v>10000</v>
      </c>
      <c r="AS32" s="68">
        <f t="shared" si="4"/>
        <v>10000</v>
      </c>
      <c r="AT32" s="68">
        <f t="shared" si="4"/>
        <v>10000</v>
      </c>
      <c r="AU32" s="68">
        <f t="shared" si="4"/>
        <v>10000</v>
      </c>
      <c r="AV32" s="68">
        <f t="shared" si="4"/>
        <v>10000</v>
      </c>
      <c r="AW32" s="68">
        <f t="shared" si="4"/>
        <v>10000</v>
      </c>
      <c r="AX32" s="68">
        <f t="shared" si="4"/>
        <v>0</v>
      </c>
      <c r="AY32" s="68">
        <f t="shared" si="4"/>
        <v>0</v>
      </c>
      <c r="AZ32" s="68">
        <f t="shared" si="4"/>
        <v>0</v>
      </c>
      <c r="BA32" s="68">
        <f t="shared" si="4"/>
        <v>0</v>
      </c>
      <c r="BB32" s="68">
        <f t="shared" si="4"/>
        <v>0</v>
      </c>
      <c r="BC32" s="68">
        <f t="shared" si="4"/>
        <v>0</v>
      </c>
      <c r="BD32" s="68">
        <f t="shared" si="4"/>
        <v>0</v>
      </c>
      <c r="BE32" s="68">
        <f t="shared" si="4"/>
        <v>0</v>
      </c>
      <c r="BF32" s="68">
        <f t="shared" si="4"/>
        <v>0</v>
      </c>
      <c r="BG32" s="68">
        <f t="shared" si="4"/>
        <v>0</v>
      </c>
      <c r="BH32" s="68">
        <f t="shared" si="4"/>
        <v>0</v>
      </c>
      <c r="BI32" s="68">
        <f t="shared" si="4"/>
        <v>0</v>
      </c>
      <c r="BJ32" s="68">
        <f t="shared" si="4"/>
        <v>0</v>
      </c>
      <c r="BK32" s="68">
        <f t="shared" si="4"/>
        <v>0</v>
      </c>
      <c r="BL32" s="68">
        <f t="shared" si="4"/>
        <v>0</v>
      </c>
      <c r="BM32" s="68">
        <f t="shared" si="4"/>
        <v>0</v>
      </c>
      <c r="BN32" s="68">
        <f t="shared" si="4"/>
        <v>0</v>
      </c>
      <c r="BO32" s="68">
        <f t="shared" si="4"/>
        <v>0</v>
      </c>
      <c r="BP32" s="68">
        <f t="shared" si="4"/>
        <v>0</v>
      </c>
      <c r="BQ32" s="68">
        <f t="shared" si="4"/>
        <v>0</v>
      </c>
      <c r="BR32" s="68">
        <f t="shared" si="4"/>
        <v>0</v>
      </c>
      <c r="BS32" s="68">
        <f t="shared" si="4"/>
        <v>0</v>
      </c>
    </row>
    <row r="33" spans="1:71" s="35" customFormat="1" x14ac:dyDescent="0.2">
      <c r="A33" s="47" t="s">
        <v>41</v>
      </c>
      <c r="B33" s="35" t="s">
        <v>80</v>
      </c>
      <c r="C33" s="48"/>
      <c r="D33" s="70"/>
      <c r="E33" s="53"/>
      <c r="G33" s="35" t="s">
        <v>81</v>
      </c>
      <c r="I33" s="50"/>
      <c r="J33" s="86" t="s">
        <v>55</v>
      </c>
      <c r="K33" s="53"/>
      <c r="L33" s="51" t="s">
        <v>56</v>
      </c>
      <c r="M33" s="53"/>
      <c r="N33" s="51" t="s">
        <v>73</v>
      </c>
      <c r="O33" s="52"/>
      <c r="P33" s="51" t="s">
        <v>55</v>
      </c>
      <c r="Q33" s="53">
        <f>EDATE(Start_Date,1)</f>
        <v>44228</v>
      </c>
      <c r="R33" s="51" t="s">
        <v>56</v>
      </c>
      <c r="S33" s="53">
        <f>EDATE(U9,-1)</f>
        <v>44958</v>
      </c>
      <c r="T33" s="51" t="s">
        <v>73</v>
      </c>
      <c r="U33" s="52">
        <v>7600</v>
      </c>
      <c r="V33" s="54">
        <f>SUM(X33:BS33)</f>
        <v>190000</v>
      </c>
      <c r="X33" s="55">
        <f t="shared" si="4"/>
        <v>0</v>
      </c>
      <c r="Y33" s="55">
        <f t="shared" si="4"/>
        <v>7600</v>
      </c>
      <c r="Z33" s="55">
        <f t="shared" si="4"/>
        <v>7600</v>
      </c>
      <c r="AA33" s="55">
        <f t="shared" si="4"/>
        <v>7600</v>
      </c>
      <c r="AB33" s="55">
        <f t="shared" si="4"/>
        <v>7600</v>
      </c>
      <c r="AC33" s="55">
        <f t="shared" si="4"/>
        <v>7600</v>
      </c>
      <c r="AD33" s="55">
        <f t="shared" si="4"/>
        <v>7600</v>
      </c>
      <c r="AE33" s="55">
        <f t="shared" si="4"/>
        <v>7600</v>
      </c>
      <c r="AF33" s="55">
        <f t="shared" si="4"/>
        <v>7600</v>
      </c>
      <c r="AG33" s="55">
        <f t="shared" si="4"/>
        <v>7600</v>
      </c>
      <c r="AH33" s="55">
        <f t="shared" si="4"/>
        <v>7600</v>
      </c>
      <c r="AI33" s="55">
        <f t="shared" si="4"/>
        <v>7600</v>
      </c>
      <c r="AJ33" s="55">
        <f t="shared" si="4"/>
        <v>7600</v>
      </c>
      <c r="AK33" s="55">
        <f t="shared" si="4"/>
        <v>7600</v>
      </c>
      <c r="AL33" s="55">
        <f t="shared" si="4"/>
        <v>7600</v>
      </c>
      <c r="AM33" s="55">
        <f t="shared" si="4"/>
        <v>7600</v>
      </c>
      <c r="AN33" s="55">
        <f t="shared" si="4"/>
        <v>7600</v>
      </c>
      <c r="AO33" s="55">
        <f t="shared" si="4"/>
        <v>7600</v>
      </c>
      <c r="AP33" s="55">
        <f t="shared" si="4"/>
        <v>7600</v>
      </c>
      <c r="AQ33" s="55">
        <f t="shared" si="4"/>
        <v>7600</v>
      </c>
      <c r="AR33" s="55">
        <f t="shared" si="4"/>
        <v>7600</v>
      </c>
      <c r="AS33" s="55">
        <f t="shared" si="4"/>
        <v>7600</v>
      </c>
      <c r="AT33" s="55">
        <f t="shared" si="4"/>
        <v>7600</v>
      </c>
      <c r="AU33" s="55">
        <f t="shared" si="4"/>
        <v>7600</v>
      </c>
      <c r="AV33" s="55">
        <f t="shared" si="4"/>
        <v>7600</v>
      </c>
      <c r="AW33" s="55">
        <f t="shared" si="4"/>
        <v>7600</v>
      </c>
      <c r="AX33" s="55">
        <f t="shared" si="4"/>
        <v>0</v>
      </c>
      <c r="AY33" s="55">
        <f t="shared" si="4"/>
        <v>0</v>
      </c>
      <c r="AZ33" s="55">
        <f t="shared" si="4"/>
        <v>0</v>
      </c>
      <c r="BA33" s="55">
        <f t="shared" si="4"/>
        <v>0</v>
      </c>
      <c r="BB33" s="55">
        <f t="shared" si="4"/>
        <v>0</v>
      </c>
      <c r="BC33" s="55">
        <f t="shared" si="4"/>
        <v>0</v>
      </c>
      <c r="BD33" s="55">
        <f t="shared" si="4"/>
        <v>0</v>
      </c>
      <c r="BE33" s="55">
        <f t="shared" si="4"/>
        <v>0</v>
      </c>
      <c r="BF33" s="55">
        <f t="shared" si="4"/>
        <v>0</v>
      </c>
      <c r="BG33" s="55">
        <f t="shared" si="4"/>
        <v>0</v>
      </c>
      <c r="BH33" s="55">
        <f t="shared" si="4"/>
        <v>0</v>
      </c>
      <c r="BI33" s="55">
        <f t="shared" si="4"/>
        <v>0</v>
      </c>
      <c r="BJ33" s="55">
        <f t="shared" si="4"/>
        <v>0</v>
      </c>
      <c r="BK33" s="55">
        <f t="shared" si="4"/>
        <v>0</v>
      </c>
      <c r="BL33" s="55">
        <f t="shared" si="4"/>
        <v>0</v>
      </c>
      <c r="BM33" s="55">
        <f t="shared" si="4"/>
        <v>0</v>
      </c>
      <c r="BN33" s="55">
        <f t="shared" si="4"/>
        <v>0</v>
      </c>
      <c r="BO33" s="55">
        <f t="shared" si="4"/>
        <v>0</v>
      </c>
      <c r="BP33" s="55">
        <f t="shared" si="4"/>
        <v>0</v>
      </c>
      <c r="BQ33" s="55">
        <f t="shared" si="4"/>
        <v>0</v>
      </c>
      <c r="BR33" s="55">
        <f t="shared" si="4"/>
        <v>0</v>
      </c>
      <c r="BS33" s="55">
        <f t="shared" si="4"/>
        <v>0</v>
      </c>
    </row>
    <row r="34" spans="1:71" s="38" customFormat="1" x14ac:dyDescent="0.2">
      <c r="A34" s="43" t="s">
        <v>41</v>
      </c>
      <c r="B34" s="38" t="s">
        <v>82</v>
      </c>
      <c r="C34" s="75"/>
      <c r="D34" s="75"/>
      <c r="G34" s="57" t="str">
        <f>"Total "&amp;G30</f>
        <v>Total Lease Expenses</v>
      </c>
      <c r="I34" s="76"/>
      <c r="V34" s="59">
        <f ca="1">SUM(X34:BS34)</f>
        <v>650000</v>
      </c>
      <c r="W34" s="57"/>
      <c r="X34" s="60">
        <f ca="1">SUBTOTAL(9,OFFSET(X30,1,0):OFFSET(X34,-1,0))</f>
        <v>0</v>
      </c>
      <c r="Y34" s="60">
        <f ca="1">SUBTOTAL(9,OFFSET(Y30,1,0):OFFSET(Y34,-1,0))</f>
        <v>7600</v>
      </c>
      <c r="Z34" s="60">
        <f ca="1">SUBTOTAL(9,OFFSET(Z30,1,0):OFFSET(Z34,-1,0))</f>
        <v>7600</v>
      </c>
      <c r="AA34" s="60">
        <f ca="1">SUBTOTAL(9,OFFSET(AA30,1,0):OFFSET(AA34,-1,0))</f>
        <v>27600</v>
      </c>
      <c r="AB34" s="60">
        <f ca="1">SUBTOTAL(9,OFFSET(AB30,1,0):OFFSET(AB34,-1,0))</f>
        <v>27600</v>
      </c>
      <c r="AC34" s="60">
        <f ca="1">SUBTOTAL(9,OFFSET(AC30,1,0):OFFSET(AC34,-1,0))</f>
        <v>27600</v>
      </c>
      <c r="AD34" s="60">
        <f ca="1">SUBTOTAL(9,OFFSET(AD30,1,0):OFFSET(AD34,-1,0))</f>
        <v>27600</v>
      </c>
      <c r="AE34" s="60">
        <f ca="1">SUBTOTAL(9,OFFSET(AE30,1,0):OFFSET(AE34,-1,0))</f>
        <v>27600</v>
      </c>
      <c r="AF34" s="60">
        <f ca="1">SUBTOTAL(9,OFFSET(AF30,1,0):OFFSET(AF34,-1,0))</f>
        <v>27600</v>
      </c>
      <c r="AG34" s="60">
        <f ca="1">SUBTOTAL(9,OFFSET(AG30,1,0):OFFSET(AG34,-1,0))</f>
        <v>27600</v>
      </c>
      <c r="AH34" s="60">
        <f ca="1">SUBTOTAL(9,OFFSET(AH30,1,0):OFFSET(AH34,-1,0))</f>
        <v>27600</v>
      </c>
      <c r="AI34" s="60">
        <f ca="1">SUBTOTAL(9,OFFSET(AI30,1,0):OFFSET(AI34,-1,0))</f>
        <v>27600</v>
      </c>
      <c r="AJ34" s="60">
        <f ca="1">SUBTOTAL(9,OFFSET(AJ30,1,0):OFFSET(AJ34,-1,0))</f>
        <v>27600</v>
      </c>
      <c r="AK34" s="60">
        <f ca="1">SUBTOTAL(9,OFFSET(AK30,1,0):OFFSET(AK34,-1,0))</f>
        <v>27600</v>
      </c>
      <c r="AL34" s="60">
        <f ca="1">SUBTOTAL(9,OFFSET(AL30,1,0):OFFSET(AL34,-1,0))</f>
        <v>27600</v>
      </c>
      <c r="AM34" s="60">
        <f ca="1">SUBTOTAL(9,OFFSET(AM30,1,0):OFFSET(AM34,-1,0))</f>
        <v>27600</v>
      </c>
      <c r="AN34" s="60">
        <f ca="1">SUBTOTAL(9,OFFSET(AN30,1,0):OFFSET(AN34,-1,0))</f>
        <v>27600</v>
      </c>
      <c r="AO34" s="60">
        <f ca="1">SUBTOTAL(9,OFFSET(AO30,1,0):OFFSET(AO34,-1,0))</f>
        <v>27600</v>
      </c>
      <c r="AP34" s="60">
        <f ca="1">SUBTOTAL(9,OFFSET(AP30,1,0):OFFSET(AP34,-1,0))</f>
        <v>27600</v>
      </c>
      <c r="AQ34" s="60">
        <f ca="1">SUBTOTAL(9,OFFSET(AQ30,1,0):OFFSET(AQ34,-1,0))</f>
        <v>27600</v>
      </c>
      <c r="AR34" s="60">
        <f ca="1">SUBTOTAL(9,OFFSET(AR30,1,0):OFFSET(AR34,-1,0))</f>
        <v>27600</v>
      </c>
      <c r="AS34" s="60">
        <f ca="1">SUBTOTAL(9,OFFSET(AS30,1,0):OFFSET(AS34,-1,0))</f>
        <v>27600</v>
      </c>
      <c r="AT34" s="60">
        <f ca="1">SUBTOTAL(9,OFFSET(AT30,1,0):OFFSET(AT34,-1,0))</f>
        <v>27600</v>
      </c>
      <c r="AU34" s="60">
        <f ca="1">SUBTOTAL(9,OFFSET(AU30,1,0):OFFSET(AU34,-1,0))</f>
        <v>27600</v>
      </c>
      <c r="AV34" s="60">
        <f ca="1">SUBTOTAL(9,OFFSET(AV30,1,0):OFFSET(AV34,-1,0))</f>
        <v>27600</v>
      </c>
      <c r="AW34" s="60">
        <f ca="1">SUBTOTAL(9,OFFSET(AW30,1,0):OFFSET(AW34,-1,0))</f>
        <v>27600</v>
      </c>
      <c r="AX34" s="60">
        <f ca="1">SUBTOTAL(9,OFFSET(AX30,1,0):OFFSET(AX34,-1,0))</f>
        <v>0</v>
      </c>
      <c r="AY34" s="60">
        <f ca="1">SUBTOTAL(9,OFFSET(AY30,1,0):OFFSET(AY34,-1,0))</f>
        <v>0</v>
      </c>
      <c r="AZ34" s="60">
        <f ca="1">SUBTOTAL(9,OFFSET(AZ30,1,0):OFFSET(AZ34,-1,0))</f>
        <v>0</v>
      </c>
      <c r="BA34" s="60">
        <f ca="1">SUBTOTAL(9,OFFSET(BA30,1,0):OFFSET(BA34,-1,0))</f>
        <v>0</v>
      </c>
      <c r="BB34" s="60">
        <f ca="1">SUBTOTAL(9,OFFSET(BB30,1,0):OFFSET(BB34,-1,0))</f>
        <v>0</v>
      </c>
      <c r="BC34" s="60">
        <f ca="1">SUBTOTAL(9,OFFSET(BC30,1,0):OFFSET(BC34,-1,0))</f>
        <v>0</v>
      </c>
      <c r="BD34" s="60">
        <f ca="1">SUBTOTAL(9,OFFSET(BD30,1,0):OFFSET(BD34,-1,0))</f>
        <v>0</v>
      </c>
      <c r="BE34" s="60">
        <f ca="1">SUBTOTAL(9,OFFSET(BE30,1,0):OFFSET(BE34,-1,0))</f>
        <v>0</v>
      </c>
      <c r="BF34" s="60">
        <f ca="1">SUBTOTAL(9,OFFSET(BF30,1,0):OFFSET(BF34,-1,0))</f>
        <v>0</v>
      </c>
      <c r="BG34" s="60">
        <f ca="1">SUBTOTAL(9,OFFSET(BG30,1,0):OFFSET(BG34,-1,0))</f>
        <v>0</v>
      </c>
      <c r="BH34" s="60">
        <f ca="1">SUBTOTAL(9,OFFSET(BH30,1,0):OFFSET(BH34,-1,0))</f>
        <v>0</v>
      </c>
      <c r="BI34" s="60">
        <f ca="1">SUBTOTAL(9,OFFSET(BI30,1,0):OFFSET(BI34,-1,0))</f>
        <v>0</v>
      </c>
      <c r="BJ34" s="60">
        <f ca="1">SUBTOTAL(9,OFFSET(BJ30,1,0):OFFSET(BJ34,-1,0))</f>
        <v>0</v>
      </c>
      <c r="BK34" s="60">
        <f ca="1">SUBTOTAL(9,OFFSET(BK30,1,0):OFFSET(BK34,-1,0))</f>
        <v>0</v>
      </c>
      <c r="BL34" s="60">
        <f ca="1">SUBTOTAL(9,OFFSET(BL30,1,0):OFFSET(BL34,-1,0))</f>
        <v>0</v>
      </c>
      <c r="BM34" s="60">
        <f ca="1">SUBTOTAL(9,OFFSET(BM30,1,0):OFFSET(BM34,-1,0))</f>
        <v>0</v>
      </c>
      <c r="BN34" s="60">
        <f ca="1">SUBTOTAL(9,OFFSET(BN30,1,0):OFFSET(BN34,-1,0))</f>
        <v>0</v>
      </c>
      <c r="BO34" s="60">
        <f ca="1">SUBTOTAL(9,OFFSET(BO30,1,0):OFFSET(BO34,-1,0))</f>
        <v>0</v>
      </c>
      <c r="BP34" s="60">
        <f ca="1">SUBTOTAL(9,OFFSET(BP30,1,0):OFFSET(BP34,-1,0))</f>
        <v>0</v>
      </c>
      <c r="BQ34" s="60">
        <f ca="1">SUBTOTAL(9,OFFSET(BQ30,1,0):OFFSET(BQ34,-1,0))</f>
        <v>0</v>
      </c>
      <c r="BR34" s="60">
        <f ca="1">SUBTOTAL(9,OFFSET(BR30,1,0):OFFSET(BR34,-1,0))</f>
        <v>0</v>
      </c>
      <c r="BS34" s="60">
        <f ca="1">SUBTOTAL(9,OFFSET(BS30,1,0):OFFSET(BS34,-1,0))</f>
        <v>0</v>
      </c>
    </row>
    <row r="35" spans="1:71" x14ac:dyDescent="0.2">
      <c r="C35" s="61"/>
      <c r="D35" s="61"/>
      <c r="P35" s="38"/>
      <c r="R35" s="38"/>
      <c r="T35" s="38"/>
      <c r="V35" s="69"/>
    </row>
    <row r="36" spans="1:71" x14ac:dyDescent="0.2">
      <c r="A36" s="36" t="s">
        <v>39</v>
      </c>
      <c r="C36" s="61"/>
      <c r="D36" s="61"/>
      <c r="G36" s="38" t="s">
        <v>83</v>
      </c>
      <c r="P36" s="38"/>
      <c r="R36" s="38"/>
      <c r="T36" s="38"/>
      <c r="V36" s="69"/>
    </row>
    <row r="37" spans="1:71" s="35" customFormat="1" x14ac:dyDescent="0.2">
      <c r="A37" s="47" t="s">
        <v>41</v>
      </c>
      <c r="B37" s="35" t="s">
        <v>84</v>
      </c>
      <c r="C37" s="87">
        <f>19%/2</f>
        <v>9.5000000000000001E-2</v>
      </c>
      <c r="D37" s="70" t="s">
        <v>50</v>
      </c>
      <c r="E37" s="53"/>
      <c r="G37" s="35" t="s">
        <v>85</v>
      </c>
      <c r="I37" s="50"/>
      <c r="J37" s="51" t="s">
        <v>55</v>
      </c>
      <c r="K37" s="53"/>
      <c r="L37" s="51" t="s">
        <v>56</v>
      </c>
      <c r="M37" s="53"/>
      <c r="N37" s="51" t="s">
        <v>73</v>
      </c>
      <c r="O37" s="52"/>
      <c r="P37" s="51" t="s">
        <v>55</v>
      </c>
      <c r="Q37" s="53">
        <f>EDATE(Start_Date,1)</f>
        <v>44228</v>
      </c>
      <c r="R37" s="51" t="s">
        <v>56</v>
      </c>
      <c r="S37" s="53">
        <f>EDATE(Q37,24)</f>
        <v>44958</v>
      </c>
      <c r="T37" s="51" t="s">
        <v>73</v>
      </c>
      <c r="U37" s="52">
        <v>60000</v>
      </c>
      <c r="V37" s="54">
        <f>SUM(X37:BS37)</f>
        <v>1500000</v>
      </c>
      <c r="X37" s="55">
        <f t="shared" ref="X37:BS37" si="5">IF(AND(X$4&gt;=$Q37,X$4&lt;=$S37),$U37,0)+IF(AND(X$4&gt;=$K37,X$4&lt;=$M37),$O37,0)</f>
        <v>0</v>
      </c>
      <c r="Y37" s="55">
        <f t="shared" si="5"/>
        <v>60000</v>
      </c>
      <c r="Z37" s="55">
        <f t="shared" si="5"/>
        <v>60000</v>
      </c>
      <c r="AA37" s="55">
        <f t="shared" si="5"/>
        <v>60000</v>
      </c>
      <c r="AB37" s="55">
        <f t="shared" si="5"/>
        <v>60000</v>
      </c>
      <c r="AC37" s="55">
        <f t="shared" si="5"/>
        <v>60000</v>
      </c>
      <c r="AD37" s="55">
        <f t="shared" si="5"/>
        <v>60000</v>
      </c>
      <c r="AE37" s="55">
        <f t="shared" si="5"/>
        <v>60000</v>
      </c>
      <c r="AF37" s="55">
        <f t="shared" si="5"/>
        <v>60000</v>
      </c>
      <c r="AG37" s="55">
        <f t="shared" si="5"/>
        <v>60000</v>
      </c>
      <c r="AH37" s="55">
        <f t="shared" si="5"/>
        <v>60000</v>
      </c>
      <c r="AI37" s="55">
        <f t="shared" si="5"/>
        <v>60000</v>
      </c>
      <c r="AJ37" s="55">
        <f t="shared" si="5"/>
        <v>60000</v>
      </c>
      <c r="AK37" s="55">
        <f t="shared" si="5"/>
        <v>60000</v>
      </c>
      <c r="AL37" s="55">
        <f t="shared" si="5"/>
        <v>60000</v>
      </c>
      <c r="AM37" s="55">
        <f t="shared" si="5"/>
        <v>60000</v>
      </c>
      <c r="AN37" s="55">
        <f t="shared" si="5"/>
        <v>60000</v>
      </c>
      <c r="AO37" s="55">
        <f t="shared" si="5"/>
        <v>60000</v>
      </c>
      <c r="AP37" s="55">
        <f t="shared" si="5"/>
        <v>60000</v>
      </c>
      <c r="AQ37" s="55">
        <f t="shared" si="5"/>
        <v>60000</v>
      </c>
      <c r="AR37" s="55">
        <f t="shared" si="5"/>
        <v>60000</v>
      </c>
      <c r="AS37" s="55">
        <f t="shared" si="5"/>
        <v>60000</v>
      </c>
      <c r="AT37" s="55">
        <f t="shared" si="5"/>
        <v>60000</v>
      </c>
      <c r="AU37" s="55">
        <f t="shared" si="5"/>
        <v>60000</v>
      </c>
      <c r="AV37" s="55">
        <f t="shared" si="5"/>
        <v>60000</v>
      </c>
      <c r="AW37" s="55">
        <f t="shared" si="5"/>
        <v>60000</v>
      </c>
      <c r="AX37" s="55">
        <f t="shared" si="5"/>
        <v>0</v>
      </c>
      <c r="AY37" s="55">
        <f t="shared" si="5"/>
        <v>0</v>
      </c>
      <c r="AZ37" s="55">
        <f t="shared" si="5"/>
        <v>0</v>
      </c>
      <c r="BA37" s="55">
        <f t="shared" si="5"/>
        <v>0</v>
      </c>
      <c r="BB37" s="55">
        <f t="shared" si="5"/>
        <v>0</v>
      </c>
      <c r="BC37" s="55">
        <f t="shared" si="5"/>
        <v>0</v>
      </c>
      <c r="BD37" s="55">
        <f t="shared" si="5"/>
        <v>0</v>
      </c>
      <c r="BE37" s="55">
        <f t="shared" si="5"/>
        <v>0</v>
      </c>
      <c r="BF37" s="55">
        <f t="shared" si="5"/>
        <v>0</v>
      </c>
      <c r="BG37" s="55">
        <f t="shared" si="5"/>
        <v>0</v>
      </c>
      <c r="BH37" s="55">
        <f t="shared" si="5"/>
        <v>0</v>
      </c>
      <c r="BI37" s="55">
        <f t="shared" si="5"/>
        <v>0</v>
      </c>
      <c r="BJ37" s="55">
        <f t="shared" si="5"/>
        <v>0</v>
      </c>
      <c r="BK37" s="55">
        <f t="shared" si="5"/>
        <v>0</v>
      </c>
      <c r="BL37" s="55">
        <f t="shared" si="5"/>
        <v>0</v>
      </c>
      <c r="BM37" s="55">
        <f t="shared" si="5"/>
        <v>0</v>
      </c>
      <c r="BN37" s="55">
        <f t="shared" si="5"/>
        <v>0</v>
      </c>
      <c r="BO37" s="55">
        <f t="shared" si="5"/>
        <v>0</v>
      </c>
      <c r="BP37" s="55">
        <f t="shared" si="5"/>
        <v>0</v>
      </c>
      <c r="BQ37" s="55">
        <f t="shared" si="5"/>
        <v>0</v>
      </c>
      <c r="BR37" s="55">
        <f t="shared" si="5"/>
        <v>0</v>
      </c>
      <c r="BS37" s="55">
        <f t="shared" si="5"/>
        <v>0</v>
      </c>
    </row>
    <row r="38" spans="1:71" s="38" customFormat="1" x14ac:dyDescent="0.2">
      <c r="A38" s="43" t="s">
        <v>41</v>
      </c>
      <c r="B38" s="38" t="s">
        <v>86</v>
      </c>
      <c r="C38" s="43"/>
      <c r="D38" s="43"/>
      <c r="G38" s="57" t="str">
        <f>"Total "&amp;G36</f>
        <v>Total SG&amp;A and Other Overhead</v>
      </c>
      <c r="I38" s="76"/>
      <c r="V38" s="59">
        <f ca="1">SUM(X38:BS38)</f>
        <v>1500000</v>
      </c>
      <c r="W38" s="57"/>
      <c r="X38" s="60">
        <f ca="1">SUBTOTAL(9,OFFSET(X36,1,0):OFFSET(X38,-1,0))</f>
        <v>0</v>
      </c>
      <c r="Y38" s="60">
        <f ca="1">SUBTOTAL(9,OFFSET(Y36,1,0):OFFSET(Y38,-1,0))</f>
        <v>60000</v>
      </c>
      <c r="Z38" s="60">
        <f ca="1">SUBTOTAL(9,OFFSET(Z36,1,0):OFFSET(Z38,-1,0))</f>
        <v>60000</v>
      </c>
      <c r="AA38" s="60">
        <f ca="1">SUBTOTAL(9,OFFSET(AA36,1,0):OFFSET(AA38,-1,0))</f>
        <v>60000</v>
      </c>
      <c r="AB38" s="60">
        <f ca="1">SUBTOTAL(9,OFFSET(AB36,1,0):OFFSET(AB38,-1,0))</f>
        <v>60000</v>
      </c>
      <c r="AC38" s="60">
        <f ca="1">SUBTOTAL(9,OFFSET(AC36,1,0):OFFSET(AC38,-1,0))</f>
        <v>60000</v>
      </c>
      <c r="AD38" s="60">
        <f ca="1">SUBTOTAL(9,OFFSET(AD36,1,0):OFFSET(AD38,-1,0))</f>
        <v>60000</v>
      </c>
      <c r="AE38" s="60">
        <f ca="1">SUBTOTAL(9,OFFSET(AE36,1,0):OFFSET(AE38,-1,0))</f>
        <v>60000</v>
      </c>
      <c r="AF38" s="60">
        <f ca="1">SUBTOTAL(9,OFFSET(AF36,1,0):OFFSET(AF38,-1,0))</f>
        <v>60000</v>
      </c>
      <c r="AG38" s="60">
        <f ca="1">SUBTOTAL(9,OFFSET(AG36,1,0):OFFSET(AG38,-1,0))</f>
        <v>60000</v>
      </c>
      <c r="AH38" s="60">
        <f ca="1">SUBTOTAL(9,OFFSET(AH36,1,0):OFFSET(AH38,-1,0))</f>
        <v>60000</v>
      </c>
      <c r="AI38" s="60">
        <f ca="1">SUBTOTAL(9,OFFSET(AI36,1,0):OFFSET(AI38,-1,0))</f>
        <v>60000</v>
      </c>
      <c r="AJ38" s="60">
        <f ca="1">SUBTOTAL(9,OFFSET(AJ36,1,0):OFFSET(AJ38,-1,0))</f>
        <v>60000</v>
      </c>
      <c r="AK38" s="60">
        <f ca="1">SUBTOTAL(9,OFFSET(AK36,1,0):OFFSET(AK38,-1,0))</f>
        <v>60000</v>
      </c>
      <c r="AL38" s="60">
        <f ca="1">SUBTOTAL(9,OFFSET(AL36,1,0):OFFSET(AL38,-1,0))</f>
        <v>60000</v>
      </c>
      <c r="AM38" s="60">
        <f ca="1">SUBTOTAL(9,OFFSET(AM36,1,0):OFFSET(AM38,-1,0))</f>
        <v>60000</v>
      </c>
      <c r="AN38" s="60">
        <f ca="1">SUBTOTAL(9,OFFSET(AN36,1,0):OFFSET(AN38,-1,0))</f>
        <v>60000</v>
      </c>
      <c r="AO38" s="60">
        <f ca="1">SUBTOTAL(9,OFFSET(AO36,1,0):OFFSET(AO38,-1,0))</f>
        <v>60000</v>
      </c>
      <c r="AP38" s="60">
        <f ca="1">SUBTOTAL(9,OFFSET(AP36,1,0):OFFSET(AP38,-1,0))</f>
        <v>60000</v>
      </c>
      <c r="AQ38" s="60">
        <f ca="1">SUBTOTAL(9,OFFSET(AQ36,1,0):OFFSET(AQ38,-1,0))</f>
        <v>60000</v>
      </c>
      <c r="AR38" s="60">
        <f ca="1">SUBTOTAL(9,OFFSET(AR36,1,0):OFFSET(AR38,-1,0))</f>
        <v>60000</v>
      </c>
      <c r="AS38" s="60">
        <f ca="1">SUBTOTAL(9,OFFSET(AS36,1,0):OFFSET(AS38,-1,0))</f>
        <v>60000</v>
      </c>
      <c r="AT38" s="60">
        <f ca="1">SUBTOTAL(9,OFFSET(AT36,1,0):OFFSET(AT38,-1,0))</f>
        <v>60000</v>
      </c>
      <c r="AU38" s="60">
        <f ca="1">SUBTOTAL(9,OFFSET(AU36,1,0):OFFSET(AU38,-1,0))</f>
        <v>60000</v>
      </c>
      <c r="AV38" s="60">
        <f ca="1">SUBTOTAL(9,OFFSET(AV36,1,0):OFFSET(AV38,-1,0))</f>
        <v>60000</v>
      </c>
      <c r="AW38" s="60">
        <f ca="1">SUBTOTAL(9,OFFSET(AW36,1,0):OFFSET(AW38,-1,0))</f>
        <v>60000</v>
      </c>
      <c r="AX38" s="60">
        <f ca="1">SUBTOTAL(9,OFFSET(AX36,1,0):OFFSET(AX38,-1,0))</f>
        <v>0</v>
      </c>
      <c r="AY38" s="60">
        <f ca="1">SUBTOTAL(9,OFFSET(AY36,1,0):OFFSET(AY38,-1,0))</f>
        <v>0</v>
      </c>
      <c r="AZ38" s="60">
        <f ca="1">SUBTOTAL(9,OFFSET(AZ36,1,0):OFFSET(AZ38,-1,0))</f>
        <v>0</v>
      </c>
      <c r="BA38" s="60">
        <f ca="1">SUBTOTAL(9,OFFSET(BA36,1,0):OFFSET(BA38,-1,0))</f>
        <v>0</v>
      </c>
      <c r="BB38" s="60">
        <f ca="1">SUBTOTAL(9,OFFSET(BB36,1,0):OFFSET(BB38,-1,0))</f>
        <v>0</v>
      </c>
      <c r="BC38" s="60">
        <f ca="1">SUBTOTAL(9,OFFSET(BC36,1,0):OFFSET(BC38,-1,0))</f>
        <v>0</v>
      </c>
      <c r="BD38" s="60">
        <f ca="1">SUBTOTAL(9,OFFSET(BD36,1,0):OFFSET(BD38,-1,0))</f>
        <v>0</v>
      </c>
      <c r="BE38" s="60">
        <f ca="1">SUBTOTAL(9,OFFSET(BE36,1,0):OFFSET(BE38,-1,0))</f>
        <v>0</v>
      </c>
      <c r="BF38" s="60">
        <f ca="1">SUBTOTAL(9,OFFSET(BF36,1,0):OFFSET(BF38,-1,0))</f>
        <v>0</v>
      </c>
      <c r="BG38" s="60">
        <f ca="1">SUBTOTAL(9,OFFSET(BG36,1,0):OFFSET(BG38,-1,0))</f>
        <v>0</v>
      </c>
      <c r="BH38" s="60">
        <f ca="1">SUBTOTAL(9,OFFSET(BH36,1,0):OFFSET(BH38,-1,0))</f>
        <v>0</v>
      </c>
      <c r="BI38" s="60">
        <f ca="1">SUBTOTAL(9,OFFSET(BI36,1,0):OFFSET(BI38,-1,0))</f>
        <v>0</v>
      </c>
      <c r="BJ38" s="60">
        <f ca="1">SUBTOTAL(9,OFFSET(BJ36,1,0):OFFSET(BJ38,-1,0))</f>
        <v>0</v>
      </c>
      <c r="BK38" s="60">
        <f ca="1">SUBTOTAL(9,OFFSET(BK36,1,0):OFFSET(BK38,-1,0))</f>
        <v>0</v>
      </c>
      <c r="BL38" s="60">
        <f ca="1">SUBTOTAL(9,OFFSET(BL36,1,0):OFFSET(BL38,-1,0))</f>
        <v>0</v>
      </c>
      <c r="BM38" s="60">
        <f ca="1">SUBTOTAL(9,OFFSET(BM36,1,0):OFFSET(BM38,-1,0))</f>
        <v>0</v>
      </c>
      <c r="BN38" s="60">
        <f ca="1">SUBTOTAL(9,OFFSET(BN36,1,0):OFFSET(BN38,-1,0))</f>
        <v>0</v>
      </c>
      <c r="BO38" s="60">
        <f ca="1">SUBTOTAL(9,OFFSET(BO36,1,0):OFFSET(BO38,-1,0))</f>
        <v>0</v>
      </c>
      <c r="BP38" s="60">
        <f ca="1">SUBTOTAL(9,OFFSET(BP36,1,0):OFFSET(BP38,-1,0))</f>
        <v>0</v>
      </c>
      <c r="BQ38" s="60">
        <f ca="1">SUBTOTAL(9,OFFSET(BQ36,1,0):OFFSET(BQ38,-1,0))</f>
        <v>0</v>
      </c>
      <c r="BR38" s="60">
        <f ca="1">SUBTOTAL(9,OFFSET(BR36,1,0):OFFSET(BR38,-1,0))</f>
        <v>0</v>
      </c>
      <c r="BS38" s="60">
        <f ca="1">SUBTOTAL(9,OFFSET(BS36,1,0):OFFSET(BS38,-1,0))</f>
        <v>0</v>
      </c>
    </row>
    <row r="39" spans="1:71" x14ac:dyDescent="0.2">
      <c r="C39" s="36"/>
      <c r="D39" s="36"/>
      <c r="V39" s="69"/>
    </row>
    <row r="40" spans="1:71" s="63" customFormat="1" x14ac:dyDescent="0.2">
      <c r="A40" s="62" t="s">
        <v>39</v>
      </c>
      <c r="B40" s="63" t="s">
        <v>87</v>
      </c>
      <c r="D40" s="62"/>
      <c r="G40" s="63" t="s">
        <v>15</v>
      </c>
      <c r="I40" s="65"/>
      <c r="V40" s="66">
        <f ca="1">SUM(X40:BS40)</f>
        <v>9200000</v>
      </c>
      <c r="X40" s="67">
        <f ca="1">SUBTOTAL(9,OFFSET(X$15,1,0):OFFSET(X40,-1,0))</f>
        <v>0</v>
      </c>
      <c r="Y40" s="67">
        <f ca="1">SUBTOTAL(9,OFFSET(Y$15,1,0):OFFSET(Y40,-1,0))</f>
        <v>170933.33333333331</v>
      </c>
      <c r="Z40" s="67">
        <f ca="1">SUBTOTAL(9,OFFSET(Z$15,1,0):OFFSET(Z40,-1,0))</f>
        <v>320933.33333333337</v>
      </c>
      <c r="AA40" s="67">
        <f ca="1">SUBTOTAL(9,OFFSET(AA$15,1,0):OFFSET(AA40,-1,0))</f>
        <v>190933.33333333331</v>
      </c>
      <c r="AB40" s="67">
        <f ca="1">SUBTOTAL(9,OFFSET(AB$15,1,0):OFFSET(AB40,-1,0))</f>
        <v>365364.11506459274</v>
      </c>
      <c r="AC40" s="67">
        <f ca="1">SUBTOTAL(9,OFFSET(AC$15,1,0):OFFSET(AC40,-1,0))</f>
        <v>405055.35251831857</v>
      </c>
      <c r="AD40" s="67">
        <f ca="1">SUBTOTAL(9,OFFSET(AD$15,1,0):OFFSET(AD40,-1,0))</f>
        <v>446986.63757907465</v>
      </c>
      <c r="AE40" s="67">
        <f ca="1">SUBTOTAL(9,OFFSET(AE$15,1,0):OFFSET(AE40,-1,0))</f>
        <v>405759.18433740968</v>
      </c>
      <c r="AF40" s="67">
        <f ca="1">SUBTOTAL(9,OFFSET(AF$15,1,0):OFFSET(AF40,-1,0))</f>
        <v>445543.7280648321</v>
      </c>
      <c r="AG40" s="67">
        <f ca="1">SUBTOTAL(9,OFFSET(AG$15,1,0):OFFSET(AG40,-1,0))</f>
        <v>480299.59191733296</v>
      </c>
      <c r="AH40" s="67">
        <f ca="1">SUBTOTAL(9,OFFSET(AH$15,1,0):OFFSET(AH40,-1,0))</f>
        <v>507404.35320479947</v>
      </c>
      <c r="AI40" s="67">
        <f ca="1">SUBTOTAL(9,OFFSET(AI$15,1,0):OFFSET(AI40,-1,0))</f>
        <v>524654.40951378306</v>
      </c>
      <c r="AJ40" s="67">
        <f ca="1">SUBTOTAL(9,OFFSET(AJ$15,1,0):OFFSET(AJ40,-1,0))</f>
        <v>530577.10807891027</v>
      </c>
      <c r="AK40" s="67">
        <f ca="1">SUBTOTAL(9,OFFSET(AK$15,1,0):OFFSET(AK40,-1,0))</f>
        <v>524654.40951378294</v>
      </c>
      <c r="AL40" s="67">
        <f ca="1">SUBTOTAL(9,OFFSET(AL$15,1,0):OFFSET(AL40,-1,0))</f>
        <v>507404.35320479958</v>
      </c>
      <c r="AM40" s="67">
        <f ca="1">SUBTOTAL(9,OFFSET(AM$15,1,0):OFFSET(AM40,-1,0))</f>
        <v>480299.59191733284</v>
      </c>
      <c r="AN40" s="67">
        <f ca="1">SUBTOTAL(9,OFFSET(AN$15,1,0):OFFSET(AN40,-1,0))</f>
        <v>445543.7280648321</v>
      </c>
      <c r="AO40" s="67">
        <f ca="1">SUBTOTAL(9,OFFSET(AO$15,1,0):OFFSET(AO40,-1,0))</f>
        <v>405759.18433740985</v>
      </c>
      <c r="AP40" s="67">
        <f ca="1">SUBTOTAL(9,OFFSET(AP$15,1,0):OFFSET(AP40,-1,0))</f>
        <v>363653.30424574116</v>
      </c>
      <c r="AQ40" s="67">
        <f ca="1">SUBTOTAL(9,OFFSET(AQ$15,1,0):OFFSET(AQ40,-1,0))</f>
        <v>321722.01918498526</v>
      </c>
      <c r="AR40" s="67">
        <f ca="1">SUBTOTAL(9,OFFSET(AR$15,1,0):OFFSET(AR40,-1,0))</f>
        <v>282030.78173125943</v>
      </c>
      <c r="AS40" s="67">
        <f ca="1">SUBTOTAL(9,OFFSET(AS$15,1,0):OFFSET(AS40,-1,0))</f>
        <v>246089.89477352204</v>
      </c>
      <c r="AT40" s="67">
        <f ca="1">SUBTOTAL(9,OFFSET(AT$15,1,0):OFFSET(AT40,-1,0))</f>
        <v>364821.96571671637</v>
      </c>
      <c r="AU40" s="67">
        <f ca="1">SUBTOTAL(9,OFFSET(AU$15,1,0):OFFSET(AU40,-1,0))</f>
        <v>188605.4778895739</v>
      </c>
      <c r="AV40" s="67">
        <f ca="1">SUBTOTAL(9,OFFSET(AV$15,1,0):OFFSET(AV40,-1,0))</f>
        <v>167370.80914099136</v>
      </c>
      <c r="AW40" s="67">
        <f ca="1">SUBTOTAL(9,OFFSET(AW$15,1,0):OFFSET(AW40,-1,0))</f>
        <v>107600</v>
      </c>
      <c r="AX40" s="67">
        <f ca="1">SUBTOTAL(9,OFFSET(AX$15,1,0):OFFSET(AX40,-1,0))</f>
        <v>0</v>
      </c>
      <c r="AY40" s="67">
        <f ca="1">SUBTOTAL(9,OFFSET(AY$15,1,0):OFFSET(AY40,-1,0))</f>
        <v>0</v>
      </c>
      <c r="AZ40" s="67">
        <f ca="1">SUBTOTAL(9,OFFSET(AZ$15,1,0):OFFSET(AZ40,-1,0))</f>
        <v>0</v>
      </c>
      <c r="BA40" s="67">
        <f ca="1">SUBTOTAL(9,OFFSET(BA$15,1,0):OFFSET(BA40,-1,0))</f>
        <v>0</v>
      </c>
      <c r="BB40" s="67">
        <f ca="1">SUBTOTAL(9,OFFSET(BB$15,1,0):OFFSET(BB40,-1,0))</f>
        <v>0</v>
      </c>
      <c r="BC40" s="67">
        <f ca="1">SUBTOTAL(9,OFFSET(BC$15,1,0):OFFSET(BC40,-1,0))</f>
        <v>0</v>
      </c>
      <c r="BD40" s="67">
        <f ca="1">SUBTOTAL(9,OFFSET(BD$15,1,0):OFFSET(BD40,-1,0))</f>
        <v>0</v>
      </c>
      <c r="BE40" s="67">
        <f ca="1">SUBTOTAL(9,OFFSET(BE$15,1,0):OFFSET(BE40,-1,0))</f>
        <v>0</v>
      </c>
      <c r="BF40" s="67">
        <f ca="1">SUBTOTAL(9,OFFSET(BF$15,1,0):OFFSET(BF40,-1,0))</f>
        <v>0</v>
      </c>
      <c r="BG40" s="67">
        <f ca="1">SUBTOTAL(9,OFFSET(BG$15,1,0):OFFSET(BG40,-1,0))</f>
        <v>0</v>
      </c>
      <c r="BH40" s="67">
        <f ca="1">SUBTOTAL(9,OFFSET(BH$15,1,0):OFFSET(BH40,-1,0))</f>
        <v>0</v>
      </c>
      <c r="BI40" s="67">
        <f ca="1">SUBTOTAL(9,OFFSET(BI$15,1,0):OFFSET(BI40,-1,0))</f>
        <v>0</v>
      </c>
      <c r="BJ40" s="67">
        <f ca="1">SUBTOTAL(9,OFFSET(BJ$15,1,0):OFFSET(BJ40,-1,0))</f>
        <v>0</v>
      </c>
      <c r="BK40" s="67">
        <f ca="1">SUBTOTAL(9,OFFSET(BK$15,1,0):OFFSET(BK40,-1,0))</f>
        <v>0</v>
      </c>
      <c r="BL40" s="67">
        <f ca="1">SUBTOTAL(9,OFFSET(BL$15,1,0):OFFSET(BL40,-1,0))</f>
        <v>0</v>
      </c>
      <c r="BM40" s="67">
        <f ca="1">SUBTOTAL(9,OFFSET(BM$15,1,0):OFFSET(BM40,-1,0))</f>
        <v>0</v>
      </c>
      <c r="BN40" s="67">
        <f ca="1">SUBTOTAL(9,OFFSET(BN$15,1,0):OFFSET(BN40,-1,0))</f>
        <v>0</v>
      </c>
      <c r="BO40" s="67">
        <f ca="1">SUBTOTAL(9,OFFSET(BO$15,1,0):OFFSET(BO40,-1,0))</f>
        <v>0</v>
      </c>
      <c r="BP40" s="67">
        <f ca="1">SUBTOTAL(9,OFFSET(BP$15,1,0):OFFSET(BP40,-1,0))</f>
        <v>0</v>
      </c>
      <c r="BQ40" s="67">
        <f ca="1">SUBTOTAL(9,OFFSET(BQ$15,1,0):OFFSET(BQ40,-1,0))</f>
        <v>0</v>
      </c>
      <c r="BR40" s="67">
        <f ca="1">SUBTOTAL(9,OFFSET(BR$15,1,0):OFFSET(BR40,-1,0))</f>
        <v>0</v>
      </c>
      <c r="BS40" s="67">
        <f ca="1">SUBTOTAL(9,OFFSET(BS$15,1,0):OFFSET(BS40,-1,0))</f>
        <v>0</v>
      </c>
    </row>
    <row r="41" spans="1:71" s="89" customFormat="1" x14ac:dyDescent="0.2">
      <c r="A41" s="88" t="s">
        <v>41</v>
      </c>
      <c r="B41" s="89" t="s">
        <v>88</v>
      </c>
      <c r="G41" s="89" t="str">
        <f>"Cumulative "&amp;G40</f>
        <v>Cumulative Total Costs</v>
      </c>
      <c r="I41" s="90"/>
      <c r="V41" s="91">
        <f ca="1">BS41</f>
        <v>9200000</v>
      </c>
      <c r="X41" s="92">
        <f ca="1">X40+W41</f>
        <v>0</v>
      </c>
      <c r="Y41" s="92">
        <f t="shared" ref="Y41:BS41" ca="1" si="6">Y40+X41</f>
        <v>170933.33333333331</v>
      </c>
      <c r="Z41" s="92">
        <f t="shared" ca="1" si="6"/>
        <v>491866.66666666669</v>
      </c>
      <c r="AA41" s="92">
        <f t="shared" ca="1" si="6"/>
        <v>682800</v>
      </c>
      <c r="AB41" s="92">
        <f t="shared" ca="1" si="6"/>
        <v>1048164.1150645928</v>
      </c>
      <c r="AC41" s="92">
        <f t="shared" ca="1" si="6"/>
        <v>1453219.4675829113</v>
      </c>
      <c r="AD41" s="92">
        <f t="shared" ca="1" si="6"/>
        <v>1900206.1051619858</v>
      </c>
      <c r="AE41" s="92">
        <f t="shared" ca="1" si="6"/>
        <v>2305965.2894993955</v>
      </c>
      <c r="AF41" s="92">
        <f t="shared" ca="1" si="6"/>
        <v>2751509.0175642278</v>
      </c>
      <c r="AG41" s="92">
        <f t="shared" ca="1" si="6"/>
        <v>3231808.609481561</v>
      </c>
      <c r="AH41" s="92">
        <f t="shared" ca="1" si="6"/>
        <v>3739212.9626863603</v>
      </c>
      <c r="AI41" s="92">
        <f t="shared" ca="1" si="6"/>
        <v>4263867.3722001435</v>
      </c>
      <c r="AJ41" s="92">
        <f t="shared" ca="1" si="6"/>
        <v>4794444.4802790536</v>
      </c>
      <c r="AK41" s="92">
        <f t="shared" ca="1" si="6"/>
        <v>5319098.8897928363</v>
      </c>
      <c r="AL41" s="92">
        <f t="shared" ca="1" si="6"/>
        <v>5826503.2429976361</v>
      </c>
      <c r="AM41" s="92">
        <f t="shared" ca="1" si="6"/>
        <v>6306802.8349149693</v>
      </c>
      <c r="AN41" s="92">
        <f t="shared" ca="1" si="6"/>
        <v>6752346.5629798016</v>
      </c>
      <c r="AO41" s="92">
        <f t="shared" ca="1" si="6"/>
        <v>7158105.7473172117</v>
      </c>
      <c r="AP41" s="92">
        <f t="shared" ca="1" si="6"/>
        <v>7521759.0515629528</v>
      </c>
      <c r="AQ41" s="92">
        <f t="shared" ca="1" si="6"/>
        <v>7843481.070747938</v>
      </c>
      <c r="AR41" s="92">
        <f t="shared" ca="1" si="6"/>
        <v>8125511.8524791971</v>
      </c>
      <c r="AS41" s="92">
        <f t="shared" ca="1" si="6"/>
        <v>8371601.7472527195</v>
      </c>
      <c r="AT41" s="92">
        <f t="shared" ca="1" si="6"/>
        <v>8736423.7129694354</v>
      </c>
      <c r="AU41" s="92">
        <f t="shared" ca="1" si="6"/>
        <v>8925029.1908590086</v>
      </c>
      <c r="AV41" s="92">
        <f t="shared" ca="1" si="6"/>
        <v>9092400</v>
      </c>
      <c r="AW41" s="92">
        <f t="shared" ca="1" si="6"/>
        <v>9200000</v>
      </c>
      <c r="AX41" s="92">
        <f t="shared" ca="1" si="6"/>
        <v>9200000</v>
      </c>
      <c r="AY41" s="92">
        <f t="shared" ca="1" si="6"/>
        <v>9200000</v>
      </c>
      <c r="AZ41" s="92">
        <f t="shared" ca="1" si="6"/>
        <v>9200000</v>
      </c>
      <c r="BA41" s="92">
        <f t="shared" ca="1" si="6"/>
        <v>9200000</v>
      </c>
      <c r="BB41" s="92">
        <f t="shared" ca="1" si="6"/>
        <v>9200000</v>
      </c>
      <c r="BC41" s="92">
        <f t="shared" ca="1" si="6"/>
        <v>9200000</v>
      </c>
      <c r="BD41" s="92">
        <f t="shared" ca="1" si="6"/>
        <v>9200000</v>
      </c>
      <c r="BE41" s="92">
        <f t="shared" ca="1" si="6"/>
        <v>9200000</v>
      </c>
      <c r="BF41" s="92">
        <f t="shared" ca="1" si="6"/>
        <v>9200000</v>
      </c>
      <c r="BG41" s="92">
        <f t="shared" ca="1" si="6"/>
        <v>9200000</v>
      </c>
      <c r="BH41" s="92">
        <f t="shared" ca="1" si="6"/>
        <v>9200000</v>
      </c>
      <c r="BI41" s="92">
        <f t="shared" ca="1" si="6"/>
        <v>9200000</v>
      </c>
      <c r="BJ41" s="92">
        <f t="shared" ca="1" si="6"/>
        <v>9200000</v>
      </c>
      <c r="BK41" s="92">
        <f t="shared" ca="1" si="6"/>
        <v>9200000</v>
      </c>
      <c r="BL41" s="92">
        <f t="shared" ca="1" si="6"/>
        <v>9200000</v>
      </c>
      <c r="BM41" s="92">
        <f t="shared" ca="1" si="6"/>
        <v>9200000</v>
      </c>
      <c r="BN41" s="92">
        <f t="shared" ca="1" si="6"/>
        <v>9200000</v>
      </c>
      <c r="BO41" s="92">
        <f t="shared" ca="1" si="6"/>
        <v>9200000</v>
      </c>
      <c r="BP41" s="92">
        <f t="shared" ca="1" si="6"/>
        <v>9200000</v>
      </c>
      <c r="BQ41" s="92">
        <f t="shared" ca="1" si="6"/>
        <v>9200000</v>
      </c>
      <c r="BR41" s="92">
        <f t="shared" ca="1" si="6"/>
        <v>9200000</v>
      </c>
      <c r="BS41" s="92">
        <f t="shared" ca="1" si="6"/>
        <v>9200000</v>
      </c>
    </row>
    <row r="42" spans="1:71" s="35" customFormat="1" x14ac:dyDescent="0.2">
      <c r="A42" s="47"/>
      <c r="G42" s="93"/>
      <c r="I42" s="50"/>
      <c r="V42" s="94"/>
      <c r="X42" s="55"/>
      <c r="Y42" s="55"/>
      <c r="Z42" s="55"/>
      <c r="AA42" s="55"/>
      <c r="AB42" s="55"/>
      <c r="AC42" s="55"/>
      <c r="AD42" s="55"/>
      <c r="AE42" s="55"/>
      <c r="AF42" s="55"/>
      <c r="AG42" s="55"/>
      <c r="AH42" s="55"/>
      <c r="AI42" s="55"/>
      <c r="AJ42" s="55"/>
      <c r="AK42" s="55"/>
      <c r="AL42" s="55"/>
      <c r="AM42" s="55"/>
      <c r="AN42" s="55"/>
      <c r="AO42" s="55"/>
      <c r="AP42" s="55"/>
      <c r="AQ42" s="55"/>
      <c r="AR42" s="55"/>
      <c r="AS42" s="55"/>
      <c r="AT42" s="55"/>
      <c r="AU42" s="55"/>
      <c r="AV42" s="55"/>
      <c r="AW42" s="55"/>
      <c r="AX42" s="55"/>
      <c r="AY42" s="55"/>
      <c r="AZ42" s="55"/>
      <c r="BA42" s="55"/>
      <c r="BB42" s="55"/>
      <c r="BC42" s="55"/>
      <c r="BD42" s="55"/>
      <c r="BE42" s="55"/>
      <c r="BF42" s="55"/>
      <c r="BG42" s="55"/>
      <c r="BH42" s="55"/>
      <c r="BI42" s="55"/>
      <c r="BJ42" s="55"/>
      <c r="BK42" s="55"/>
      <c r="BL42" s="55"/>
      <c r="BM42" s="55"/>
      <c r="BN42" s="55"/>
      <c r="BO42" s="55"/>
      <c r="BP42" s="55"/>
      <c r="BQ42" s="55"/>
      <c r="BR42" s="55"/>
      <c r="BS42" s="55"/>
    </row>
    <row r="43" spans="1:71" s="63" customFormat="1" x14ac:dyDescent="0.2">
      <c r="A43" s="62" t="s">
        <v>37</v>
      </c>
      <c r="B43" s="63" t="s">
        <v>89</v>
      </c>
      <c r="G43" s="63" t="s">
        <v>90</v>
      </c>
      <c r="I43" s="65"/>
      <c r="R43" s="95" t="s">
        <v>91</v>
      </c>
      <c r="S43" s="96">
        <f ca="1">-V43/MIN(X44:BS44)</f>
        <v>0.49253731343283563</v>
      </c>
      <c r="T43" s="95" t="s">
        <v>92</v>
      </c>
      <c r="U43" s="96">
        <f t="array" aca="1" ref="U43" ca="1">((1+IRR(OFFSET($W43,,MATCH(TRUE,$X43:$BS43&lt;&gt;0,0)):OFFSET($W43,,MATCH($V44,$X44:$BS44,0)),10%))^12)-1</f>
        <v>0.37829212472030016</v>
      </c>
      <c r="V43" s="66">
        <f ca="1">SUM(X43:BS43)</f>
        <v>3299999.9999999991</v>
      </c>
      <c r="X43" s="67">
        <f t="shared" ref="X43:BS43" ca="1" si="7">X12-X40</f>
        <v>0</v>
      </c>
      <c r="Y43" s="67">
        <f t="shared" ca="1" si="7"/>
        <v>-170933.33333333331</v>
      </c>
      <c r="Z43" s="67">
        <f t="shared" ca="1" si="7"/>
        <v>-320933.33333333337</v>
      </c>
      <c r="AA43" s="67">
        <f t="shared" ca="1" si="7"/>
        <v>-190933.33333333331</v>
      </c>
      <c r="AB43" s="67">
        <f t="shared" ca="1" si="7"/>
        <v>-365364.11506459274</v>
      </c>
      <c r="AC43" s="67">
        <f t="shared" ca="1" si="7"/>
        <v>-405055.35251831857</v>
      </c>
      <c r="AD43" s="67">
        <f t="shared" ca="1" si="7"/>
        <v>-446986.63757907465</v>
      </c>
      <c r="AE43" s="67">
        <f t="shared" ca="1" si="7"/>
        <v>-405759.18433740968</v>
      </c>
      <c r="AF43" s="67">
        <f t="shared" ca="1" si="7"/>
        <v>-445543.7280648321</v>
      </c>
      <c r="AG43" s="67">
        <f t="shared" ca="1" si="7"/>
        <v>-480299.59191733296</v>
      </c>
      <c r="AH43" s="67">
        <f t="shared" ca="1" si="7"/>
        <v>-507404.35320479947</v>
      </c>
      <c r="AI43" s="67">
        <f t="shared" ca="1" si="7"/>
        <v>-524654.40951378306</v>
      </c>
      <c r="AJ43" s="67">
        <f t="shared" ca="1" si="7"/>
        <v>-530577.10807891027</v>
      </c>
      <c r="AK43" s="67">
        <f t="shared" ca="1" si="7"/>
        <v>-524654.40951378294</v>
      </c>
      <c r="AL43" s="67">
        <f t="shared" ca="1" si="7"/>
        <v>1992595.6467952004</v>
      </c>
      <c r="AM43" s="67">
        <f t="shared" ca="1" si="7"/>
        <v>-480299.59191733284</v>
      </c>
      <c r="AN43" s="67">
        <f t="shared" ca="1" si="7"/>
        <v>-445543.7280648321</v>
      </c>
      <c r="AO43" s="67">
        <f t="shared" ca="1" si="7"/>
        <v>-405759.18433740985</v>
      </c>
      <c r="AP43" s="67">
        <f t="shared" ca="1" si="7"/>
        <v>-363653.30424574116</v>
      </c>
      <c r="AQ43" s="67">
        <f t="shared" ca="1" si="7"/>
        <v>-321722.01918498526</v>
      </c>
      <c r="AR43" s="67">
        <f t="shared" ca="1" si="7"/>
        <v>-282030.78173125943</v>
      </c>
      <c r="AS43" s="67">
        <f t="shared" ca="1" si="7"/>
        <v>-246089.89477352204</v>
      </c>
      <c r="AT43" s="67">
        <f t="shared" ca="1" si="7"/>
        <v>-364821.96571671637</v>
      </c>
      <c r="AU43" s="67">
        <f t="shared" ca="1" si="7"/>
        <v>-188605.4778895739</v>
      </c>
      <c r="AV43" s="67">
        <f t="shared" ca="1" si="7"/>
        <v>-167370.80914099136</v>
      </c>
      <c r="AW43" s="67">
        <f t="shared" ca="1" si="7"/>
        <v>-107600</v>
      </c>
      <c r="AX43" s="67">
        <f t="shared" ca="1" si="7"/>
        <v>10000000</v>
      </c>
      <c r="AY43" s="67">
        <f t="shared" ca="1" si="7"/>
        <v>0</v>
      </c>
      <c r="AZ43" s="67">
        <f t="shared" ca="1" si="7"/>
        <v>0</v>
      </c>
      <c r="BA43" s="67">
        <f t="shared" ca="1" si="7"/>
        <v>0</v>
      </c>
      <c r="BB43" s="67">
        <f t="shared" ca="1" si="7"/>
        <v>0</v>
      </c>
      <c r="BC43" s="67">
        <f t="shared" ca="1" si="7"/>
        <v>0</v>
      </c>
      <c r="BD43" s="67">
        <f t="shared" ca="1" si="7"/>
        <v>0</v>
      </c>
      <c r="BE43" s="67">
        <f t="shared" ca="1" si="7"/>
        <v>0</v>
      </c>
      <c r="BF43" s="67">
        <f t="shared" ca="1" si="7"/>
        <v>0</v>
      </c>
      <c r="BG43" s="67">
        <f t="shared" ca="1" si="7"/>
        <v>0</v>
      </c>
      <c r="BH43" s="67">
        <f t="shared" ca="1" si="7"/>
        <v>0</v>
      </c>
      <c r="BI43" s="67">
        <f t="shared" ca="1" si="7"/>
        <v>0</v>
      </c>
      <c r="BJ43" s="67">
        <f t="shared" ca="1" si="7"/>
        <v>0</v>
      </c>
      <c r="BK43" s="67">
        <f t="shared" ca="1" si="7"/>
        <v>0</v>
      </c>
      <c r="BL43" s="67">
        <f t="shared" ca="1" si="7"/>
        <v>0</v>
      </c>
      <c r="BM43" s="67">
        <f t="shared" ca="1" si="7"/>
        <v>0</v>
      </c>
      <c r="BN43" s="67">
        <f t="shared" ca="1" si="7"/>
        <v>0</v>
      </c>
      <c r="BO43" s="67">
        <f t="shared" ca="1" si="7"/>
        <v>0</v>
      </c>
      <c r="BP43" s="67">
        <f t="shared" ca="1" si="7"/>
        <v>0</v>
      </c>
      <c r="BQ43" s="67">
        <f t="shared" ca="1" si="7"/>
        <v>0</v>
      </c>
      <c r="BR43" s="67">
        <f t="shared" ca="1" si="7"/>
        <v>0</v>
      </c>
      <c r="BS43" s="67">
        <f t="shared" ca="1" si="7"/>
        <v>0</v>
      </c>
    </row>
    <row r="44" spans="1:71" s="89" customFormat="1" x14ac:dyDescent="0.2">
      <c r="A44" s="88" t="s">
        <v>41</v>
      </c>
      <c r="B44" s="89" t="s">
        <v>93</v>
      </c>
      <c r="G44" s="89" t="str">
        <f>"Cumulative "&amp;G43</f>
        <v>Cumulative Cash Flow Before VAT</v>
      </c>
      <c r="I44" s="90"/>
      <c r="V44" s="91">
        <f ca="1">BS44</f>
        <v>3299999.9999999991</v>
      </c>
      <c r="X44" s="92">
        <f t="shared" ref="X44:BS44" ca="1" si="8">W44+X43</f>
        <v>0</v>
      </c>
      <c r="Y44" s="92">
        <f t="shared" ca="1" si="8"/>
        <v>-170933.33333333331</v>
      </c>
      <c r="Z44" s="92">
        <f t="shared" ca="1" si="8"/>
        <v>-491866.66666666669</v>
      </c>
      <c r="AA44" s="92">
        <f t="shared" ca="1" si="8"/>
        <v>-682800</v>
      </c>
      <c r="AB44" s="92">
        <f t="shared" ca="1" si="8"/>
        <v>-1048164.1150645928</v>
      </c>
      <c r="AC44" s="92">
        <f t="shared" ca="1" si="8"/>
        <v>-1453219.4675829113</v>
      </c>
      <c r="AD44" s="92">
        <f t="shared" ca="1" si="8"/>
        <v>-1900206.1051619858</v>
      </c>
      <c r="AE44" s="92">
        <f t="shared" ca="1" si="8"/>
        <v>-2305965.2894993955</v>
      </c>
      <c r="AF44" s="92">
        <f t="shared" ca="1" si="8"/>
        <v>-2751509.0175642278</v>
      </c>
      <c r="AG44" s="92">
        <f t="shared" ca="1" si="8"/>
        <v>-3231808.609481561</v>
      </c>
      <c r="AH44" s="92">
        <f t="shared" ca="1" si="8"/>
        <v>-3739212.9626863603</v>
      </c>
      <c r="AI44" s="92">
        <f t="shared" ca="1" si="8"/>
        <v>-4263867.3722001435</v>
      </c>
      <c r="AJ44" s="92">
        <f t="shared" ca="1" si="8"/>
        <v>-4794444.4802790536</v>
      </c>
      <c r="AK44" s="92">
        <f t="shared" ca="1" si="8"/>
        <v>-5319098.8897928363</v>
      </c>
      <c r="AL44" s="92">
        <f t="shared" ca="1" si="8"/>
        <v>-3326503.2429976361</v>
      </c>
      <c r="AM44" s="92">
        <f t="shared" ca="1" si="8"/>
        <v>-3806802.8349149688</v>
      </c>
      <c r="AN44" s="92">
        <f t="shared" ca="1" si="8"/>
        <v>-4252346.5629798006</v>
      </c>
      <c r="AO44" s="92">
        <f t="shared" ca="1" si="8"/>
        <v>-4658105.7473172108</v>
      </c>
      <c r="AP44" s="92">
        <f t="shared" ca="1" si="8"/>
        <v>-5021759.0515629519</v>
      </c>
      <c r="AQ44" s="92">
        <f t="shared" ca="1" si="8"/>
        <v>-5343481.0707479371</v>
      </c>
      <c r="AR44" s="92">
        <f t="shared" ca="1" si="8"/>
        <v>-5625511.8524791962</v>
      </c>
      <c r="AS44" s="92">
        <f t="shared" ca="1" si="8"/>
        <v>-5871601.7472527185</v>
      </c>
      <c r="AT44" s="92">
        <f t="shared" ca="1" si="8"/>
        <v>-6236423.7129694354</v>
      </c>
      <c r="AU44" s="92">
        <f t="shared" ca="1" si="8"/>
        <v>-6425029.1908590095</v>
      </c>
      <c r="AV44" s="92">
        <f t="shared" ca="1" si="8"/>
        <v>-6592400.0000000009</v>
      </c>
      <c r="AW44" s="92">
        <f t="shared" ca="1" si="8"/>
        <v>-6700000.0000000009</v>
      </c>
      <c r="AX44" s="92">
        <f t="shared" ca="1" si="8"/>
        <v>3299999.9999999991</v>
      </c>
      <c r="AY44" s="92">
        <f t="shared" ca="1" si="8"/>
        <v>3299999.9999999991</v>
      </c>
      <c r="AZ44" s="92">
        <f t="shared" ca="1" si="8"/>
        <v>3299999.9999999991</v>
      </c>
      <c r="BA44" s="92">
        <f t="shared" ca="1" si="8"/>
        <v>3299999.9999999991</v>
      </c>
      <c r="BB44" s="92">
        <f t="shared" ca="1" si="8"/>
        <v>3299999.9999999991</v>
      </c>
      <c r="BC44" s="92">
        <f t="shared" ca="1" si="8"/>
        <v>3299999.9999999991</v>
      </c>
      <c r="BD44" s="92">
        <f t="shared" ca="1" si="8"/>
        <v>3299999.9999999991</v>
      </c>
      <c r="BE44" s="92">
        <f t="shared" ca="1" si="8"/>
        <v>3299999.9999999991</v>
      </c>
      <c r="BF44" s="92">
        <f t="shared" ca="1" si="8"/>
        <v>3299999.9999999991</v>
      </c>
      <c r="BG44" s="92">
        <f t="shared" ca="1" si="8"/>
        <v>3299999.9999999991</v>
      </c>
      <c r="BH44" s="92">
        <f t="shared" ca="1" si="8"/>
        <v>3299999.9999999991</v>
      </c>
      <c r="BI44" s="92">
        <f t="shared" ca="1" si="8"/>
        <v>3299999.9999999991</v>
      </c>
      <c r="BJ44" s="92">
        <f t="shared" ca="1" si="8"/>
        <v>3299999.9999999991</v>
      </c>
      <c r="BK44" s="92">
        <f t="shared" ca="1" si="8"/>
        <v>3299999.9999999991</v>
      </c>
      <c r="BL44" s="92">
        <f t="shared" ca="1" si="8"/>
        <v>3299999.9999999991</v>
      </c>
      <c r="BM44" s="92">
        <f t="shared" ca="1" si="8"/>
        <v>3299999.9999999991</v>
      </c>
      <c r="BN44" s="92">
        <f t="shared" ca="1" si="8"/>
        <v>3299999.9999999991</v>
      </c>
      <c r="BO44" s="92">
        <f t="shared" ca="1" si="8"/>
        <v>3299999.9999999991</v>
      </c>
      <c r="BP44" s="92">
        <f t="shared" ca="1" si="8"/>
        <v>3299999.9999999991</v>
      </c>
      <c r="BQ44" s="92">
        <f t="shared" ca="1" si="8"/>
        <v>3299999.9999999991</v>
      </c>
      <c r="BR44" s="92">
        <f t="shared" ca="1" si="8"/>
        <v>3299999.9999999991</v>
      </c>
      <c r="BS44" s="92">
        <f t="shared" ca="1" si="8"/>
        <v>3299999.9999999991</v>
      </c>
    </row>
    <row r="45" spans="1:71" x14ac:dyDescent="0.2">
      <c r="V45" s="69"/>
    </row>
    <row r="46" spans="1:71" x14ac:dyDescent="0.2">
      <c r="A46" s="36" t="s">
        <v>37</v>
      </c>
      <c r="G46" s="38" t="s">
        <v>94</v>
      </c>
      <c r="V46" s="69"/>
    </row>
    <row r="47" spans="1:71" x14ac:dyDescent="0.2">
      <c r="V47" s="69"/>
    </row>
    <row r="48" spans="1:71" s="38" customFormat="1" x14ac:dyDescent="0.2">
      <c r="A48" s="43" t="s">
        <v>39</v>
      </c>
      <c r="G48" s="38" t="s">
        <v>95</v>
      </c>
      <c r="I48" s="76"/>
      <c r="T48" s="60"/>
      <c r="V48" s="97"/>
    </row>
    <row r="49" spans="1:71" x14ac:dyDescent="0.2">
      <c r="A49" s="36" t="s">
        <v>41</v>
      </c>
      <c r="B49" s="37" t="s">
        <v>96</v>
      </c>
      <c r="G49" s="37" t="str">
        <f>$G$16</f>
        <v>Direct Manufacturing</v>
      </c>
      <c r="T49" s="68"/>
      <c r="V49" s="81">
        <f t="shared" ref="V49:V54" ca="1" si="9">SUM(X49:BS49)</f>
        <v>950000.00000000012</v>
      </c>
      <c r="X49" s="68">
        <f ca="1">SUMPRODUCT(OFFSET($C16,1,0):OFFSET($C18,-1,0)*OFFSET(X16,1,0):OFFSET(X18,-1,0))-SUMPRODUCT(OFFSET($C16,1,0):OFFSET($C18,-1,0)*--(OFFSET($E16,1,0):OFFSET($E18,-1,0)=X$4)*OFFSET($W16,1,0):OFFSET(W18,-1,0))</f>
        <v>0</v>
      </c>
      <c r="Y49" s="68">
        <f ca="1">SUMPRODUCT(OFFSET($C16,1,0):OFFSET($C18,-1,0)*OFFSET(Y16,1,0):OFFSET(Y18,-1,0))-SUMPRODUCT(OFFSET($C16,1,0):OFFSET($C18,-1,0)*--(OFFSET($E16,1,0):OFFSET($E18,-1,0)=Y$4)*OFFSET($W16,1,0):OFFSET(X18,-1,0))</f>
        <v>0</v>
      </c>
      <c r="Z49" s="68">
        <f ca="1">SUMPRODUCT(OFFSET($C16,1,0):OFFSET($C18,-1,0)*OFFSET(Z16,1,0):OFFSET(Z18,-1,0))-SUMPRODUCT(OFFSET($C16,1,0):OFFSET($C18,-1,0)*--(OFFSET($E16,1,0):OFFSET($E18,-1,0)=Z$4)*OFFSET($W16,1,0):OFFSET(Y18,-1,0))</f>
        <v>0</v>
      </c>
      <c r="AA49" s="68">
        <f ca="1">SUMPRODUCT(OFFSET($C16,1,0):OFFSET($C18,-1,0)*OFFSET(AA16,1,0):OFFSET(AA18,-1,0))-SUMPRODUCT(OFFSET($C16,1,0):OFFSET($C18,-1,0)*--(OFFSET($E16,1,0):OFFSET($E18,-1,0)=AA$4)*OFFSET($W16,1,0):OFFSET(Z18,-1,0))</f>
        <v>0</v>
      </c>
      <c r="AB49" s="68">
        <f ca="1">SUMPRODUCT(OFFSET($C16,1,0):OFFSET($C18,-1,0)*OFFSET(AB16,1,0):OFFSET(AB18,-1,0))-SUMPRODUCT(OFFSET($C16,1,0):OFFSET($C18,-1,0)*--(OFFSET($E16,1,0):OFFSET($E18,-1,0)=AB$4)*OFFSET($W16,1,0):OFFSET(AA18,-1,0))</f>
        <v>28743.470659707928</v>
      </c>
      <c r="AC49" s="68">
        <f ca="1">SUMPRODUCT(OFFSET($C16,1,0):OFFSET($C18,-1,0)*OFFSET(AC16,1,0):OFFSET(AC18,-1,0))-SUMPRODUCT(OFFSET($C16,1,0):OFFSET($C18,-1,0)*--(OFFSET($E16,1,0):OFFSET($E18,-1,0)=AC$4)*OFFSET($W16,1,0):OFFSET(AB18,-1,0))</f>
        <v>35401.138027605026</v>
      </c>
      <c r="AD49" s="68">
        <f ca="1">SUMPRODUCT(OFFSET($C16,1,0):OFFSET($C18,-1,0)*OFFSET(AD16,1,0):OFFSET(AD18,-1,0))-SUMPRODUCT(OFFSET($C16,1,0):OFFSET($C18,-1,0)*--(OFFSET($E16,1,0):OFFSET($E18,-1,0)=AD$4)*OFFSET($W16,1,0):OFFSET(AC18,-1,0))</f>
        <v>42406.409694430142</v>
      </c>
      <c r="AE49" s="68">
        <f ca="1">SUMPRODUCT(OFFSET($C16,1,0):OFFSET($C18,-1,0)*OFFSET(AE16,1,0):OFFSET(AE18,-1,0))-SUMPRODUCT(OFFSET($C16,1,0):OFFSET($C18,-1,0)*--(OFFSET($E16,1,0):OFFSET($E18,-1,0)=AE$4)*OFFSET($W16,1,0):OFFSET(AD18,-1,0))</f>
        <v>49406.268093513238</v>
      </c>
      <c r="AF49" s="68">
        <f ca="1">SUMPRODUCT(OFFSET($C16,1,0):OFFSET($C18,-1,0)*OFFSET(AF16,1,0):OFFSET(AF18,-1,0))-SUMPRODUCT(OFFSET($C16,1,0):OFFSET($C18,-1,0)*--(OFFSET($E16,1,0):OFFSET($E18,-1,0)=AF$4)*OFFSET($W16,1,0):OFFSET(AE18,-1,0))</f>
        <v>55984.636261969434</v>
      </c>
      <c r="AG49" s="68">
        <f ca="1">SUMPRODUCT(OFFSET($C16,1,0):OFFSET($C18,-1,0)*OFFSET(AG16,1,0):OFFSET(AG18,-1,0))-SUMPRODUCT(OFFSET($C16,1,0):OFFSET($C18,-1,0)*--(OFFSET($E16,1,0):OFFSET($E18,-1,0)=AG$4)*OFFSET($W16,1,0):OFFSET(AF18,-1,0))</f>
        <v>61700.962030177921</v>
      </c>
      <c r="AH49" s="68">
        <f ca="1">SUMPRODUCT(OFFSET($C16,1,0):OFFSET($C18,-1,0)*OFFSET(AH16,1,0):OFFSET(AH18,-1,0))-SUMPRODUCT(OFFSET($C16,1,0):OFFSET($C18,-1,0)*--(OFFSET($E16,1,0):OFFSET($E18,-1,0)=AH$4)*OFFSET($W16,1,0):OFFSET(AG18,-1,0))</f>
        <v>66138.033008573213</v>
      </c>
      <c r="AI49" s="68">
        <f ca="1">SUMPRODUCT(OFFSET($C16,1,0):OFFSET($C18,-1,0)*OFFSET(AI16,1,0):OFFSET(AI18,-1,0))-SUMPRODUCT(OFFSET($C16,1,0):OFFSET($C18,-1,0)*--(OFFSET($E16,1,0):OFFSET($E18,-1,0)=AI$4)*OFFSET($W16,1,0):OFFSET(AH18,-1,0))</f>
        <v>68952.001628441518</v>
      </c>
      <c r="AJ49" s="68">
        <f ca="1">SUMPRODUCT(OFFSET($C16,1,0):OFFSET($C18,-1,0)*OFFSET(AJ16,1,0):OFFSET(AJ18,-1,0))-SUMPRODUCT(OFFSET($C16,1,0):OFFSET($C18,-1,0)*--(OFFSET($E16,1,0):OFFSET($E18,-1,0)=AJ$4)*OFFSET($W16,1,0):OFFSET(AI18,-1,0))</f>
        <v>69916.34967723109</v>
      </c>
      <c r="AK49" s="68">
        <f ca="1">SUMPRODUCT(OFFSET($C16,1,0):OFFSET($C18,-1,0)*OFFSET(AK16,1,0):OFFSET(AK18,-1,0))-SUMPRODUCT(OFFSET($C16,1,0):OFFSET($C18,-1,0)*--(OFFSET($E16,1,0):OFFSET($E18,-1,0)=AK$4)*OFFSET($W16,1,0):OFFSET(AJ18,-1,0))</f>
        <v>68952.001628441518</v>
      </c>
      <c r="AL49" s="68">
        <f ca="1">SUMPRODUCT(OFFSET($C16,1,0):OFFSET($C18,-1,0)*OFFSET(AL16,1,0):OFFSET(AL18,-1,0))-SUMPRODUCT(OFFSET($C16,1,0):OFFSET($C18,-1,0)*--(OFFSET($E16,1,0):OFFSET($E18,-1,0)=AL$4)*OFFSET($W16,1,0):OFFSET(AK18,-1,0))</f>
        <v>66138.033008573213</v>
      </c>
      <c r="AM49" s="68">
        <f ca="1">SUMPRODUCT(OFFSET($C16,1,0):OFFSET($C18,-1,0)*OFFSET(AM16,1,0):OFFSET(AM18,-1,0))-SUMPRODUCT(OFFSET($C16,1,0):OFFSET($C18,-1,0)*--(OFFSET($E16,1,0):OFFSET($E18,-1,0)=AM$4)*OFFSET($W16,1,0):OFFSET(AL18,-1,0))</f>
        <v>61700.962030177921</v>
      </c>
      <c r="AN49" s="68">
        <f ca="1">SUMPRODUCT(OFFSET($C16,1,0):OFFSET($C18,-1,0)*OFFSET(AN16,1,0):OFFSET(AN18,-1,0))-SUMPRODUCT(OFFSET($C16,1,0):OFFSET($C18,-1,0)*--(OFFSET($E16,1,0):OFFSET($E18,-1,0)=AN$4)*OFFSET($W16,1,0):OFFSET(AM18,-1,0))</f>
        <v>55984.636261969434</v>
      </c>
      <c r="AO49" s="68">
        <f ca="1">SUMPRODUCT(OFFSET($C16,1,0):OFFSET($C18,-1,0)*OFFSET(AO16,1,0):OFFSET(AO18,-1,0))-SUMPRODUCT(OFFSET($C16,1,0):OFFSET($C18,-1,0)*--(OFFSET($E16,1,0):OFFSET($E18,-1,0)=AO$4)*OFFSET($W16,1,0):OFFSET(AN18,-1,0))</f>
        <v>49406.268093513238</v>
      </c>
      <c r="AP49" s="68">
        <f ca="1">SUMPRODUCT(OFFSET($C16,1,0):OFFSET($C18,-1,0)*OFFSET(AP16,1,0):OFFSET(AP18,-1,0))-SUMPRODUCT(OFFSET($C16,1,0):OFFSET($C18,-1,0)*--(OFFSET($E16,1,0):OFFSET($E18,-1,0)=AP$4)*OFFSET($W16,1,0):OFFSET(AO18,-1,0))</f>
        <v>42406.409694430142</v>
      </c>
      <c r="AQ49" s="68">
        <f ca="1">SUMPRODUCT(OFFSET($C16,1,0):OFFSET($C18,-1,0)*OFFSET(AQ16,1,0):OFFSET(AQ18,-1,0))-SUMPRODUCT(OFFSET($C16,1,0):OFFSET($C18,-1,0)*--(OFFSET($E16,1,0):OFFSET($E18,-1,0)=AQ$4)*OFFSET($W16,1,0):OFFSET(AP18,-1,0))</f>
        <v>35401.138027605026</v>
      </c>
      <c r="AR49" s="68">
        <f ca="1">SUMPRODUCT(OFFSET($C16,1,0):OFFSET($C18,-1,0)*OFFSET(AR16,1,0):OFFSET(AR18,-1,0))-SUMPRODUCT(OFFSET($C16,1,0):OFFSET($C18,-1,0)*--(OFFSET($E16,1,0):OFFSET($E18,-1,0)=AR$4)*OFFSET($W16,1,0):OFFSET(AQ18,-1,0))</f>
        <v>28743.470659707928</v>
      </c>
      <c r="AS49" s="68">
        <f ca="1">SUMPRODUCT(OFFSET($C16,1,0):OFFSET($C18,-1,0)*OFFSET(AS16,1,0):OFFSET(AS18,-1,0))-SUMPRODUCT(OFFSET($C16,1,0):OFFSET($C18,-1,0)*--(OFFSET($E16,1,0):OFFSET($E18,-1,0)=AS$4)*OFFSET($W16,1,0):OFFSET(AR18,-1,0))</f>
        <v>22698.515431402233</v>
      </c>
      <c r="AT49" s="68">
        <f ca="1">SUMPRODUCT(OFFSET($C16,1,0):OFFSET($C18,-1,0)*OFFSET(AT16,1,0):OFFSET(AT18,-1,0))-SUMPRODUCT(OFFSET($C16,1,0):OFFSET($C18,-1,0)*--(OFFSET($E16,1,0):OFFSET($E18,-1,0)=AT$4)*OFFSET($W16,1,0):OFFSET(AS18,-1,0))</f>
        <v>17433.796221663368</v>
      </c>
      <c r="AU49" s="68">
        <f ca="1">SUMPRODUCT(OFFSET($C16,1,0):OFFSET($C18,-1,0)*OFFSET(AU16,1,0):OFFSET(AU18,-1,0))-SUMPRODUCT(OFFSET($C16,1,0):OFFSET($C18,-1,0)*--(OFFSET($E16,1,0):OFFSET($E18,-1,0)=AU$4)*OFFSET($W16,1,0):OFFSET(AT18,-1,0))</f>
        <v>13023.350874428441</v>
      </c>
      <c r="AV49" s="68">
        <f ca="1">SUMPRODUCT(OFFSET($C16,1,0):OFFSET($C18,-1,0)*OFFSET(AV16,1,0):OFFSET(AV18,-1,0))-SUMPRODUCT(OFFSET($C16,1,0):OFFSET($C18,-1,0)*--(OFFSET($E16,1,0):OFFSET($E18,-1,0)=AV$4)*OFFSET($W16,1,0):OFFSET(AU18,-1,0))</f>
        <v>9462.1489864381256</v>
      </c>
      <c r="AW49" s="68">
        <f ca="1">SUMPRODUCT(OFFSET($C16,1,0):OFFSET($C18,-1,0)*OFFSET(AW16,1,0):OFFSET(AW18,-1,0))-SUMPRODUCT(OFFSET($C16,1,0):OFFSET($C18,-1,0)*--(OFFSET($E16,1,0):OFFSET($E18,-1,0)=AW$4)*OFFSET($W16,1,0):OFFSET(AV18,-1,0))</f>
        <v>0</v>
      </c>
      <c r="AX49" s="68">
        <f ca="1">SUMPRODUCT(OFFSET($C16,1,0):OFFSET($C18,-1,0)*OFFSET(AX16,1,0):OFFSET(AX18,-1,0))-SUMPRODUCT(OFFSET($C16,1,0):OFFSET($C18,-1,0)*--(OFFSET($E16,1,0):OFFSET($E18,-1,0)=AX$4)*OFFSET($W16,1,0):OFFSET(AW18,-1,0))</f>
        <v>0</v>
      </c>
      <c r="AY49" s="68">
        <f ca="1">SUMPRODUCT(OFFSET($C16,1,0):OFFSET($C18,-1,0)*OFFSET(AY16,1,0):OFFSET(AY18,-1,0))-SUMPRODUCT(OFFSET($C16,1,0):OFFSET($C18,-1,0)*--(OFFSET($E16,1,0):OFFSET($E18,-1,0)=AY$4)*OFFSET($W16,1,0):OFFSET(AX18,-1,0))</f>
        <v>0</v>
      </c>
      <c r="AZ49" s="68">
        <f ca="1">SUMPRODUCT(OFFSET($C16,1,0):OFFSET($C18,-1,0)*OFFSET(AZ16,1,0):OFFSET(AZ18,-1,0))-SUMPRODUCT(OFFSET($C16,1,0):OFFSET($C18,-1,0)*--(OFFSET($E16,1,0):OFFSET($E18,-1,0)=AZ$4)*OFFSET($W16,1,0):OFFSET(AY18,-1,0))</f>
        <v>0</v>
      </c>
      <c r="BA49" s="68">
        <f ca="1">SUMPRODUCT(OFFSET($C16,1,0):OFFSET($C18,-1,0)*OFFSET(BA16,1,0):OFFSET(BA18,-1,0))-SUMPRODUCT(OFFSET($C16,1,0):OFFSET($C18,-1,0)*--(OFFSET($E16,1,0):OFFSET($E18,-1,0)=BA$4)*OFFSET($W16,1,0):OFFSET(AZ18,-1,0))</f>
        <v>0</v>
      </c>
      <c r="BB49" s="68">
        <f ca="1">SUMPRODUCT(OFFSET($C16,1,0):OFFSET($C18,-1,0)*OFFSET(BB16,1,0):OFFSET(BB18,-1,0))-SUMPRODUCT(OFFSET($C16,1,0):OFFSET($C18,-1,0)*--(OFFSET($E16,1,0):OFFSET($E18,-1,0)=BB$4)*OFFSET($W16,1,0):OFFSET(BA18,-1,0))</f>
        <v>0</v>
      </c>
      <c r="BC49" s="68">
        <f ca="1">SUMPRODUCT(OFFSET($C16,1,0):OFFSET($C18,-1,0)*OFFSET(BC16,1,0):OFFSET(BC18,-1,0))-SUMPRODUCT(OFFSET($C16,1,0):OFFSET($C18,-1,0)*--(OFFSET($E16,1,0):OFFSET($E18,-1,0)=BC$4)*OFFSET($W16,1,0):OFFSET(BB18,-1,0))</f>
        <v>0</v>
      </c>
      <c r="BD49" s="68">
        <f ca="1">SUMPRODUCT(OFFSET($C16,1,0):OFFSET($C18,-1,0)*OFFSET(BD16,1,0):OFFSET(BD18,-1,0))-SUMPRODUCT(OFFSET($C16,1,0):OFFSET($C18,-1,0)*--(OFFSET($E16,1,0):OFFSET($E18,-1,0)=BD$4)*OFFSET($W16,1,0):OFFSET(BC18,-1,0))</f>
        <v>0</v>
      </c>
      <c r="BE49" s="68">
        <f ca="1">SUMPRODUCT(OFFSET($C16,1,0):OFFSET($C18,-1,0)*OFFSET(BE16,1,0):OFFSET(BE18,-1,0))-SUMPRODUCT(OFFSET($C16,1,0):OFFSET($C18,-1,0)*--(OFFSET($E16,1,0):OFFSET($E18,-1,0)=BE$4)*OFFSET($W16,1,0):OFFSET(BD18,-1,0))</f>
        <v>0</v>
      </c>
      <c r="BF49" s="68">
        <f ca="1">SUMPRODUCT(OFFSET($C16,1,0):OFFSET($C18,-1,0)*OFFSET(BF16,1,0):OFFSET(BF18,-1,0))-SUMPRODUCT(OFFSET($C16,1,0):OFFSET($C18,-1,0)*--(OFFSET($E16,1,0):OFFSET($E18,-1,0)=BF$4)*OFFSET($W16,1,0):OFFSET(BE18,-1,0))</f>
        <v>0</v>
      </c>
      <c r="BG49" s="68">
        <f ca="1">SUMPRODUCT(OFFSET($C16,1,0):OFFSET($C18,-1,0)*OFFSET(BG16,1,0):OFFSET(BG18,-1,0))-SUMPRODUCT(OFFSET($C16,1,0):OFFSET($C18,-1,0)*--(OFFSET($E16,1,0):OFFSET($E18,-1,0)=BG$4)*OFFSET($W16,1,0):OFFSET(BF18,-1,0))</f>
        <v>0</v>
      </c>
      <c r="BH49" s="68">
        <f ca="1">SUMPRODUCT(OFFSET($C16,1,0):OFFSET($C18,-1,0)*OFFSET(BH16,1,0):OFFSET(BH18,-1,0))-SUMPRODUCT(OFFSET($C16,1,0):OFFSET($C18,-1,0)*--(OFFSET($E16,1,0):OFFSET($E18,-1,0)=BH$4)*OFFSET($W16,1,0):OFFSET(BG18,-1,0))</f>
        <v>0</v>
      </c>
      <c r="BI49" s="68">
        <f ca="1">SUMPRODUCT(OFFSET($C16,1,0):OFFSET($C18,-1,0)*OFFSET(BI16,1,0):OFFSET(BI18,-1,0))-SUMPRODUCT(OFFSET($C16,1,0):OFFSET($C18,-1,0)*--(OFFSET($E16,1,0):OFFSET($E18,-1,0)=BI$4)*OFFSET($W16,1,0):OFFSET(BH18,-1,0))</f>
        <v>0</v>
      </c>
      <c r="BJ49" s="68">
        <f ca="1">SUMPRODUCT(OFFSET($C16,1,0):OFFSET($C18,-1,0)*OFFSET(BJ16,1,0):OFFSET(BJ18,-1,0))-SUMPRODUCT(OFFSET($C16,1,0):OFFSET($C18,-1,0)*--(OFFSET($E16,1,0):OFFSET($E18,-1,0)=BJ$4)*OFFSET($W16,1,0):OFFSET(BI18,-1,0))</f>
        <v>0</v>
      </c>
      <c r="BK49" s="68">
        <f ca="1">SUMPRODUCT(OFFSET($C16,1,0):OFFSET($C18,-1,0)*OFFSET(BK16,1,0):OFFSET(BK18,-1,0))-SUMPRODUCT(OFFSET($C16,1,0):OFFSET($C18,-1,0)*--(OFFSET($E16,1,0):OFFSET($E18,-1,0)=BK$4)*OFFSET($W16,1,0):OFFSET(BJ18,-1,0))</f>
        <v>0</v>
      </c>
      <c r="BL49" s="68">
        <f ca="1">SUMPRODUCT(OFFSET($C16,1,0):OFFSET($C18,-1,0)*OFFSET(BL16,1,0):OFFSET(BL18,-1,0))-SUMPRODUCT(OFFSET($C16,1,0):OFFSET($C18,-1,0)*--(OFFSET($E16,1,0):OFFSET($E18,-1,0)=BL$4)*OFFSET($W16,1,0):OFFSET(BK18,-1,0))</f>
        <v>0</v>
      </c>
      <c r="BM49" s="68">
        <f ca="1">SUMPRODUCT(OFFSET($C16,1,0):OFFSET($C18,-1,0)*OFFSET(BM16,1,0):OFFSET(BM18,-1,0))-SUMPRODUCT(OFFSET($C16,1,0):OFFSET($C18,-1,0)*--(OFFSET($E16,1,0):OFFSET($E18,-1,0)=BM$4)*OFFSET($W16,1,0):OFFSET(BL18,-1,0))</f>
        <v>0</v>
      </c>
      <c r="BN49" s="68">
        <f ca="1">SUMPRODUCT(OFFSET($C16,1,0):OFFSET($C18,-1,0)*OFFSET(BN16,1,0):OFFSET(BN18,-1,0))-SUMPRODUCT(OFFSET($C16,1,0):OFFSET($C18,-1,0)*--(OFFSET($E16,1,0):OFFSET($E18,-1,0)=BN$4)*OFFSET($W16,1,0):OFFSET(BM18,-1,0))</f>
        <v>0</v>
      </c>
      <c r="BO49" s="68">
        <f ca="1">SUMPRODUCT(OFFSET($C16,1,0):OFFSET($C18,-1,0)*OFFSET(BO16,1,0):OFFSET(BO18,-1,0))-SUMPRODUCT(OFFSET($C16,1,0):OFFSET($C18,-1,0)*--(OFFSET($E16,1,0):OFFSET($E18,-1,0)=BO$4)*OFFSET($W16,1,0):OFFSET(BN18,-1,0))</f>
        <v>0</v>
      </c>
      <c r="BP49" s="68">
        <f ca="1">SUMPRODUCT(OFFSET($C16,1,0):OFFSET($C18,-1,0)*OFFSET(BP16,1,0):OFFSET(BP18,-1,0))-SUMPRODUCT(OFFSET($C16,1,0):OFFSET($C18,-1,0)*--(OFFSET($E16,1,0):OFFSET($E18,-1,0)=BP$4)*OFFSET($W16,1,0):OFFSET(BO18,-1,0))</f>
        <v>0</v>
      </c>
      <c r="BQ49" s="68">
        <f ca="1">SUMPRODUCT(OFFSET($C16,1,0):OFFSET($C18,-1,0)*OFFSET(BQ16,1,0):OFFSET(BQ18,-1,0))-SUMPRODUCT(OFFSET($C16,1,0):OFFSET($C18,-1,0)*--(OFFSET($E16,1,0):OFFSET($E18,-1,0)=BQ$4)*OFFSET($W16,1,0):OFFSET(BP18,-1,0))</f>
        <v>0</v>
      </c>
      <c r="BR49" s="68">
        <f ca="1">SUMPRODUCT(OFFSET($C16,1,0):OFFSET($C18,-1,0)*OFFSET(BR16,1,0):OFFSET(BR18,-1,0))-SUMPRODUCT(OFFSET($C16,1,0):OFFSET($C18,-1,0)*--(OFFSET($E16,1,0):OFFSET($E18,-1,0)=BR$4)*OFFSET($W16,1,0):OFFSET(BQ18,-1,0))</f>
        <v>0</v>
      </c>
      <c r="BS49" s="68">
        <f ca="1">SUMPRODUCT(OFFSET($C16,1,0):OFFSET($C18,-1,0)*OFFSET(BS16,1,0):OFFSET(BS18,-1,0))-SUMPRODUCT(OFFSET($C16,1,0):OFFSET($C18,-1,0)*--(OFFSET($E16,1,0):OFFSET($E18,-1,0)=BS$4)*OFFSET($W16,1,0):OFFSET(BR18,-1,0))</f>
        <v>0</v>
      </c>
    </row>
    <row r="50" spans="1:71" x14ac:dyDescent="0.2">
      <c r="A50" s="36" t="s">
        <v>41</v>
      </c>
      <c r="B50" s="37" t="s">
        <v>97</v>
      </c>
      <c r="G50" s="37" t="str">
        <f>$G$20</f>
        <v>R&amp;D Expenses</v>
      </c>
      <c r="V50" s="81">
        <f t="shared" ca="1" si="9"/>
        <v>0</v>
      </c>
      <c r="X50" s="68">
        <f ca="1">SUMPRODUCT(OFFSET($C20,1,0):OFFSET($C22,-1,0)*OFFSET(X20,1,0):OFFSET(X22,-1,0))-SUMPRODUCT(OFFSET($C20,1,0):OFFSET($C22,-1,0)*--(OFFSET($E20,1,0):OFFSET($E22,-1,0)=X$4)*OFFSET($W20,1,0):OFFSET(W22,-1,0))</f>
        <v>0</v>
      </c>
      <c r="Y50" s="68">
        <f ca="1">SUMPRODUCT(OFFSET($C20,1,0):OFFSET($C22,-1,0)*OFFSET(Y20,1,0):OFFSET(Y22,-1,0))-SUMPRODUCT(OFFSET($C20,1,0):OFFSET($C22,-1,0)*--(OFFSET($E20,1,0):OFFSET($E22,-1,0)=Y$4)*OFFSET($W20,1,0):OFFSET(X22,-1,0))</f>
        <v>0</v>
      </c>
      <c r="Z50" s="68">
        <f ca="1">SUMPRODUCT(OFFSET($C20,1,0):OFFSET($C22,-1,0)*OFFSET(Z20,1,0):OFFSET(Z22,-1,0))-SUMPRODUCT(OFFSET($C20,1,0):OFFSET($C22,-1,0)*--(OFFSET($E20,1,0):OFFSET($E22,-1,0)=Z$4)*OFFSET($W20,1,0):OFFSET(Y22,-1,0))</f>
        <v>0</v>
      </c>
      <c r="AA50" s="68">
        <f ca="1">SUMPRODUCT(OFFSET($C20,1,0):OFFSET($C22,-1,0)*OFFSET(AA20,1,0):OFFSET(AA22,-1,0))-SUMPRODUCT(OFFSET($C20,1,0):OFFSET($C22,-1,0)*--(OFFSET($E20,1,0):OFFSET($E22,-1,0)=AA$4)*OFFSET($W20,1,0):OFFSET(Z22,-1,0))</f>
        <v>0</v>
      </c>
      <c r="AB50" s="68">
        <f ca="1">SUMPRODUCT(OFFSET($C20,1,0):OFFSET($C22,-1,0)*OFFSET(AB20,1,0):OFFSET(AB22,-1,0))-SUMPRODUCT(OFFSET($C20,1,0):OFFSET($C22,-1,0)*--(OFFSET($E20,1,0):OFFSET($E22,-1,0)=AB$4)*OFFSET($W20,1,0):OFFSET(AA22,-1,0))</f>
        <v>0</v>
      </c>
      <c r="AC50" s="68">
        <f ca="1">SUMPRODUCT(OFFSET($C20,1,0):OFFSET($C22,-1,0)*OFFSET(AC20,1,0):OFFSET(AC22,-1,0))-SUMPRODUCT(OFFSET($C20,1,0):OFFSET($C22,-1,0)*--(OFFSET($E20,1,0):OFFSET($E22,-1,0)=AC$4)*OFFSET($W20,1,0):OFFSET(AB22,-1,0))</f>
        <v>0</v>
      </c>
      <c r="AD50" s="68">
        <f ca="1">SUMPRODUCT(OFFSET($C20,1,0):OFFSET($C22,-1,0)*OFFSET(AD20,1,0):OFFSET(AD22,-1,0))-SUMPRODUCT(OFFSET($C20,1,0):OFFSET($C22,-1,0)*--(OFFSET($E20,1,0):OFFSET($E22,-1,0)=AD$4)*OFFSET($W20,1,0):OFFSET(AC22,-1,0))</f>
        <v>0</v>
      </c>
      <c r="AE50" s="68">
        <f ca="1">SUMPRODUCT(OFFSET($C20,1,0):OFFSET($C22,-1,0)*OFFSET(AE20,1,0):OFFSET(AE22,-1,0))-SUMPRODUCT(OFFSET($C20,1,0):OFFSET($C22,-1,0)*--(OFFSET($E20,1,0):OFFSET($E22,-1,0)=AE$4)*OFFSET($W20,1,0):OFFSET(AD22,-1,0))</f>
        <v>0</v>
      </c>
      <c r="AF50" s="68">
        <f ca="1">SUMPRODUCT(OFFSET($C20,1,0):OFFSET($C22,-1,0)*OFFSET(AF20,1,0):OFFSET(AF22,-1,0))-SUMPRODUCT(OFFSET($C20,1,0):OFFSET($C22,-1,0)*--(OFFSET($E20,1,0):OFFSET($E22,-1,0)=AF$4)*OFFSET($W20,1,0):OFFSET(AE22,-1,0))</f>
        <v>0</v>
      </c>
      <c r="AG50" s="68">
        <f ca="1">SUMPRODUCT(OFFSET($C20,1,0):OFFSET($C22,-1,0)*OFFSET(AG20,1,0):OFFSET(AG22,-1,0))-SUMPRODUCT(OFFSET($C20,1,0):OFFSET($C22,-1,0)*--(OFFSET($E20,1,0):OFFSET($E22,-1,0)=AG$4)*OFFSET($W20,1,0):OFFSET(AF22,-1,0))</f>
        <v>0</v>
      </c>
      <c r="AH50" s="68">
        <f ca="1">SUMPRODUCT(OFFSET($C20,1,0):OFFSET($C22,-1,0)*OFFSET(AH20,1,0):OFFSET(AH22,-1,0))-SUMPRODUCT(OFFSET($C20,1,0):OFFSET($C22,-1,0)*--(OFFSET($E20,1,0):OFFSET($E22,-1,0)=AH$4)*OFFSET($W20,1,0):OFFSET(AG22,-1,0))</f>
        <v>0</v>
      </c>
      <c r="AI50" s="68">
        <f ca="1">SUMPRODUCT(OFFSET($C20,1,0):OFFSET($C22,-1,0)*OFFSET(AI20,1,0):OFFSET(AI22,-1,0))-SUMPRODUCT(OFFSET($C20,1,0):OFFSET($C22,-1,0)*--(OFFSET($E20,1,0):OFFSET($E22,-1,0)=AI$4)*OFFSET($W20,1,0):OFFSET(AH22,-1,0))</f>
        <v>0</v>
      </c>
      <c r="AJ50" s="68">
        <f ca="1">SUMPRODUCT(OFFSET($C20,1,0):OFFSET($C22,-1,0)*OFFSET(AJ20,1,0):OFFSET(AJ22,-1,0))-SUMPRODUCT(OFFSET($C20,1,0):OFFSET($C22,-1,0)*--(OFFSET($E20,1,0):OFFSET($E22,-1,0)=AJ$4)*OFFSET($W20,1,0):OFFSET(AI22,-1,0))</f>
        <v>0</v>
      </c>
      <c r="AK50" s="68">
        <f ca="1">SUMPRODUCT(OFFSET($C20,1,0):OFFSET($C22,-1,0)*OFFSET(AK20,1,0):OFFSET(AK22,-1,0))-SUMPRODUCT(OFFSET($C20,1,0):OFFSET($C22,-1,0)*--(OFFSET($E20,1,0):OFFSET($E22,-1,0)=AK$4)*OFFSET($W20,1,0):OFFSET(AJ22,-1,0))</f>
        <v>0</v>
      </c>
      <c r="AL50" s="68">
        <f ca="1">SUMPRODUCT(OFFSET($C20,1,0):OFFSET($C22,-1,0)*OFFSET(AL20,1,0):OFFSET(AL22,-1,0))-SUMPRODUCT(OFFSET($C20,1,0):OFFSET($C22,-1,0)*--(OFFSET($E20,1,0):OFFSET($E22,-1,0)=AL$4)*OFFSET($W20,1,0):OFFSET(AK22,-1,0))</f>
        <v>0</v>
      </c>
      <c r="AM50" s="68">
        <f ca="1">SUMPRODUCT(OFFSET($C20,1,0):OFFSET($C22,-1,0)*OFFSET(AM20,1,0):OFFSET(AM22,-1,0))-SUMPRODUCT(OFFSET($C20,1,0):OFFSET($C22,-1,0)*--(OFFSET($E20,1,0):OFFSET($E22,-1,0)=AM$4)*OFFSET($W20,1,0):OFFSET(AL22,-1,0))</f>
        <v>0</v>
      </c>
      <c r="AN50" s="68">
        <f ca="1">SUMPRODUCT(OFFSET($C20,1,0):OFFSET($C22,-1,0)*OFFSET(AN20,1,0):OFFSET(AN22,-1,0))-SUMPRODUCT(OFFSET($C20,1,0):OFFSET($C22,-1,0)*--(OFFSET($E20,1,0):OFFSET($E22,-1,0)=AN$4)*OFFSET($W20,1,0):OFFSET(AM22,-1,0))</f>
        <v>0</v>
      </c>
      <c r="AO50" s="68">
        <f ca="1">SUMPRODUCT(OFFSET($C20,1,0):OFFSET($C22,-1,0)*OFFSET(AO20,1,0):OFFSET(AO22,-1,0))-SUMPRODUCT(OFFSET($C20,1,0):OFFSET($C22,-1,0)*--(OFFSET($E20,1,0):OFFSET($E22,-1,0)=AO$4)*OFFSET($W20,1,0):OFFSET(AN22,-1,0))</f>
        <v>0</v>
      </c>
      <c r="AP50" s="68">
        <f ca="1">SUMPRODUCT(OFFSET($C20,1,0):OFFSET($C22,-1,0)*OFFSET(AP20,1,0):OFFSET(AP22,-1,0))-SUMPRODUCT(OFFSET($C20,1,0):OFFSET($C22,-1,0)*--(OFFSET($E20,1,0):OFFSET($E22,-1,0)=AP$4)*OFFSET($W20,1,0):OFFSET(AO22,-1,0))</f>
        <v>0</v>
      </c>
      <c r="AQ50" s="68">
        <f ca="1">SUMPRODUCT(OFFSET($C20,1,0):OFFSET($C22,-1,0)*OFFSET(AQ20,1,0):OFFSET(AQ22,-1,0))-SUMPRODUCT(OFFSET($C20,1,0):OFFSET($C22,-1,0)*--(OFFSET($E20,1,0):OFFSET($E22,-1,0)=AQ$4)*OFFSET($W20,1,0):OFFSET(AP22,-1,0))</f>
        <v>0</v>
      </c>
      <c r="AR50" s="68">
        <f ca="1">SUMPRODUCT(OFFSET($C20,1,0):OFFSET($C22,-1,0)*OFFSET(AR20,1,0):OFFSET(AR22,-1,0))-SUMPRODUCT(OFFSET($C20,1,0):OFFSET($C22,-1,0)*--(OFFSET($E20,1,0):OFFSET($E22,-1,0)=AR$4)*OFFSET($W20,1,0):OFFSET(AQ22,-1,0))</f>
        <v>0</v>
      </c>
      <c r="AS50" s="68">
        <f ca="1">SUMPRODUCT(OFFSET($C20,1,0):OFFSET($C22,-1,0)*OFFSET(AS20,1,0):OFFSET(AS22,-1,0))-SUMPRODUCT(OFFSET($C20,1,0):OFFSET($C22,-1,0)*--(OFFSET($E20,1,0):OFFSET($E22,-1,0)=AS$4)*OFFSET($W20,1,0):OFFSET(AR22,-1,0))</f>
        <v>0</v>
      </c>
      <c r="AT50" s="68">
        <f ca="1">SUMPRODUCT(OFFSET($C20,1,0):OFFSET($C22,-1,0)*OFFSET(AT20,1,0):OFFSET(AT22,-1,0))-SUMPRODUCT(OFFSET($C20,1,0):OFFSET($C22,-1,0)*--(OFFSET($E20,1,0):OFFSET($E22,-1,0)=AT$4)*OFFSET($W20,1,0):OFFSET(AS22,-1,0))</f>
        <v>0</v>
      </c>
      <c r="AU50" s="68">
        <f ca="1">SUMPRODUCT(OFFSET($C20,1,0):OFFSET($C22,-1,0)*OFFSET(AU20,1,0):OFFSET(AU22,-1,0))-SUMPRODUCT(OFFSET($C20,1,0):OFFSET($C22,-1,0)*--(OFFSET($E20,1,0):OFFSET($E22,-1,0)=AU$4)*OFFSET($W20,1,0):OFFSET(AT22,-1,0))</f>
        <v>0</v>
      </c>
      <c r="AV50" s="68">
        <f ca="1">SUMPRODUCT(OFFSET($C20,1,0):OFFSET($C22,-1,0)*OFFSET(AV20,1,0):OFFSET(AV22,-1,0))-SUMPRODUCT(OFFSET($C20,1,0):OFFSET($C22,-1,0)*--(OFFSET($E20,1,0):OFFSET($E22,-1,0)=AV$4)*OFFSET($W20,1,0):OFFSET(AU22,-1,0))</f>
        <v>0</v>
      </c>
      <c r="AW50" s="68">
        <f ca="1">SUMPRODUCT(OFFSET($C20,1,0):OFFSET($C22,-1,0)*OFFSET(AW20,1,0):OFFSET(AW22,-1,0))-SUMPRODUCT(OFFSET($C20,1,0):OFFSET($C22,-1,0)*--(OFFSET($E20,1,0):OFFSET($E22,-1,0)=AW$4)*OFFSET($W20,1,0):OFFSET(AV22,-1,0))</f>
        <v>0</v>
      </c>
      <c r="AX50" s="68">
        <f ca="1">SUMPRODUCT(OFFSET($C20,1,0):OFFSET($C22,-1,0)*OFFSET(AX20,1,0):OFFSET(AX22,-1,0))-SUMPRODUCT(OFFSET($C20,1,0):OFFSET($C22,-1,0)*--(OFFSET($E20,1,0):OFFSET($E22,-1,0)=AX$4)*OFFSET($W20,1,0):OFFSET(AW22,-1,0))</f>
        <v>0</v>
      </c>
      <c r="AY50" s="68">
        <f ca="1">SUMPRODUCT(OFFSET($C20,1,0):OFFSET($C22,-1,0)*OFFSET(AY20,1,0):OFFSET(AY22,-1,0))-SUMPRODUCT(OFFSET($C20,1,0):OFFSET($C22,-1,0)*--(OFFSET($E20,1,0):OFFSET($E22,-1,0)=AY$4)*OFFSET($W20,1,0):OFFSET(AX22,-1,0))</f>
        <v>0</v>
      </c>
      <c r="AZ50" s="68">
        <f ca="1">SUMPRODUCT(OFFSET($C20,1,0):OFFSET($C22,-1,0)*OFFSET(AZ20,1,0):OFFSET(AZ22,-1,0))-SUMPRODUCT(OFFSET($C20,1,0):OFFSET($C22,-1,0)*--(OFFSET($E20,1,0):OFFSET($E22,-1,0)=AZ$4)*OFFSET($W20,1,0):OFFSET(AY22,-1,0))</f>
        <v>0</v>
      </c>
      <c r="BA50" s="68">
        <f ca="1">SUMPRODUCT(OFFSET($C20,1,0):OFFSET($C22,-1,0)*OFFSET(BA20,1,0):OFFSET(BA22,-1,0))-SUMPRODUCT(OFFSET($C20,1,0):OFFSET($C22,-1,0)*--(OFFSET($E20,1,0):OFFSET($E22,-1,0)=BA$4)*OFFSET($W20,1,0):OFFSET(AZ22,-1,0))</f>
        <v>0</v>
      </c>
      <c r="BB50" s="68">
        <f ca="1">SUMPRODUCT(OFFSET($C20,1,0):OFFSET($C22,-1,0)*OFFSET(BB20,1,0):OFFSET(BB22,-1,0))-SUMPRODUCT(OFFSET($C20,1,0):OFFSET($C22,-1,0)*--(OFFSET($E20,1,0):OFFSET($E22,-1,0)=BB$4)*OFFSET($W20,1,0):OFFSET(BA22,-1,0))</f>
        <v>0</v>
      </c>
      <c r="BC50" s="68">
        <f ca="1">SUMPRODUCT(OFFSET($C20,1,0):OFFSET($C22,-1,0)*OFFSET(BC20,1,0):OFFSET(BC22,-1,0))-SUMPRODUCT(OFFSET($C20,1,0):OFFSET($C22,-1,0)*--(OFFSET($E20,1,0):OFFSET($E22,-1,0)=BC$4)*OFFSET($W20,1,0):OFFSET(BB22,-1,0))</f>
        <v>0</v>
      </c>
      <c r="BD50" s="68">
        <f ca="1">SUMPRODUCT(OFFSET($C20,1,0):OFFSET($C22,-1,0)*OFFSET(BD20,1,0):OFFSET(BD22,-1,0))-SUMPRODUCT(OFFSET($C20,1,0):OFFSET($C22,-1,0)*--(OFFSET($E20,1,0):OFFSET($E22,-1,0)=BD$4)*OFFSET($W20,1,0):OFFSET(BC22,-1,0))</f>
        <v>0</v>
      </c>
      <c r="BE50" s="68">
        <f ca="1">SUMPRODUCT(OFFSET($C20,1,0):OFFSET($C22,-1,0)*OFFSET(BE20,1,0):OFFSET(BE22,-1,0))-SUMPRODUCT(OFFSET($C20,1,0):OFFSET($C22,-1,0)*--(OFFSET($E20,1,0):OFFSET($E22,-1,0)=BE$4)*OFFSET($W20,1,0):OFFSET(BD22,-1,0))</f>
        <v>0</v>
      </c>
      <c r="BF50" s="68">
        <f ca="1">SUMPRODUCT(OFFSET($C20,1,0):OFFSET($C22,-1,0)*OFFSET(BF20,1,0):OFFSET(BF22,-1,0))-SUMPRODUCT(OFFSET($C20,1,0):OFFSET($C22,-1,0)*--(OFFSET($E20,1,0):OFFSET($E22,-1,0)=BF$4)*OFFSET($W20,1,0):OFFSET(BE22,-1,0))</f>
        <v>0</v>
      </c>
      <c r="BG50" s="68">
        <f ca="1">SUMPRODUCT(OFFSET($C20,1,0):OFFSET($C22,-1,0)*OFFSET(BG20,1,0):OFFSET(BG22,-1,0))-SUMPRODUCT(OFFSET($C20,1,0):OFFSET($C22,-1,0)*--(OFFSET($E20,1,0):OFFSET($E22,-1,0)=BG$4)*OFFSET($W20,1,0):OFFSET(BF22,-1,0))</f>
        <v>0</v>
      </c>
      <c r="BH50" s="68">
        <f ca="1">SUMPRODUCT(OFFSET($C20,1,0):OFFSET($C22,-1,0)*OFFSET(BH20,1,0):OFFSET(BH22,-1,0))-SUMPRODUCT(OFFSET($C20,1,0):OFFSET($C22,-1,0)*--(OFFSET($E20,1,0):OFFSET($E22,-1,0)=BH$4)*OFFSET($W20,1,0):OFFSET(BG22,-1,0))</f>
        <v>0</v>
      </c>
      <c r="BI50" s="68">
        <f ca="1">SUMPRODUCT(OFFSET($C20,1,0):OFFSET($C22,-1,0)*OFFSET(BI20,1,0):OFFSET(BI22,-1,0))-SUMPRODUCT(OFFSET($C20,1,0):OFFSET($C22,-1,0)*--(OFFSET($E20,1,0):OFFSET($E22,-1,0)=BI$4)*OFFSET($W20,1,0):OFFSET(BH22,-1,0))</f>
        <v>0</v>
      </c>
      <c r="BJ50" s="68">
        <f ca="1">SUMPRODUCT(OFFSET($C20,1,0):OFFSET($C22,-1,0)*OFFSET(BJ20,1,0):OFFSET(BJ22,-1,0))-SUMPRODUCT(OFFSET($C20,1,0):OFFSET($C22,-1,0)*--(OFFSET($E20,1,0):OFFSET($E22,-1,0)=BJ$4)*OFFSET($W20,1,0):OFFSET(BI22,-1,0))</f>
        <v>0</v>
      </c>
      <c r="BK50" s="68">
        <f ca="1">SUMPRODUCT(OFFSET($C20,1,0):OFFSET($C22,-1,0)*OFFSET(BK20,1,0):OFFSET(BK22,-1,0))-SUMPRODUCT(OFFSET($C20,1,0):OFFSET($C22,-1,0)*--(OFFSET($E20,1,0):OFFSET($E22,-1,0)=BK$4)*OFFSET($W20,1,0):OFFSET(BJ22,-1,0))</f>
        <v>0</v>
      </c>
      <c r="BL50" s="68">
        <f ca="1">SUMPRODUCT(OFFSET($C20,1,0):OFFSET($C22,-1,0)*OFFSET(BL20,1,0):OFFSET(BL22,-1,0))-SUMPRODUCT(OFFSET($C20,1,0):OFFSET($C22,-1,0)*--(OFFSET($E20,1,0):OFFSET($E22,-1,0)=BL$4)*OFFSET($W20,1,0):OFFSET(BK22,-1,0))</f>
        <v>0</v>
      </c>
      <c r="BM50" s="68">
        <f ca="1">SUMPRODUCT(OFFSET($C20,1,0):OFFSET($C22,-1,0)*OFFSET(BM20,1,0):OFFSET(BM22,-1,0))-SUMPRODUCT(OFFSET($C20,1,0):OFFSET($C22,-1,0)*--(OFFSET($E20,1,0):OFFSET($E22,-1,0)=BM$4)*OFFSET($W20,1,0):OFFSET(BL22,-1,0))</f>
        <v>0</v>
      </c>
      <c r="BN50" s="68">
        <f ca="1">SUMPRODUCT(OFFSET($C20,1,0):OFFSET($C22,-1,0)*OFFSET(BN20,1,0):OFFSET(BN22,-1,0))-SUMPRODUCT(OFFSET($C20,1,0):OFFSET($C22,-1,0)*--(OFFSET($E20,1,0):OFFSET($E22,-1,0)=BN$4)*OFFSET($W20,1,0):OFFSET(BM22,-1,0))</f>
        <v>0</v>
      </c>
      <c r="BO50" s="68">
        <f ca="1">SUMPRODUCT(OFFSET($C20,1,0):OFFSET($C22,-1,0)*OFFSET(BO20,1,0):OFFSET(BO22,-1,0))-SUMPRODUCT(OFFSET($C20,1,0):OFFSET($C22,-1,0)*--(OFFSET($E20,1,0):OFFSET($E22,-1,0)=BO$4)*OFFSET($W20,1,0):OFFSET(BN22,-1,0))</f>
        <v>0</v>
      </c>
      <c r="BP50" s="68">
        <f ca="1">SUMPRODUCT(OFFSET($C20,1,0):OFFSET($C22,-1,0)*OFFSET(BP20,1,0):OFFSET(BP22,-1,0))-SUMPRODUCT(OFFSET($C20,1,0):OFFSET($C22,-1,0)*--(OFFSET($E20,1,0):OFFSET($E22,-1,0)=BP$4)*OFFSET($W20,1,0):OFFSET(BO22,-1,0))</f>
        <v>0</v>
      </c>
      <c r="BQ50" s="68">
        <f ca="1">SUMPRODUCT(OFFSET($C20,1,0):OFFSET($C22,-1,0)*OFFSET(BQ20,1,0):OFFSET(BQ22,-1,0))-SUMPRODUCT(OFFSET($C20,1,0):OFFSET($C22,-1,0)*--(OFFSET($E20,1,0):OFFSET($E22,-1,0)=BQ$4)*OFFSET($W20,1,0):OFFSET(BP22,-1,0))</f>
        <v>0</v>
      </c>
      <c r="BR50" s="68">
        <f ca="1">SUMPRODUCT(OFFSET($C20,1,0):OFFSET($C22,-1,0)*OFFSET(BR20,1,0):OFFSET(BR22,-1,0))-SUMPRODUCT(OFFSET($C20,1,0):OFFSET($C22,-1,0)*--(OFFSET($E20,1,0):OFFSET($E22,-1,0)=BR$4)*OFFSET($W20,1,0):OFFSET(BQ22,-1,0))</f>
        <v>0</v>
      </c>
      <c r="BS50" s="68">
        <f ca="1">SUMPRODUCT(OFFSET($C20,1,0):OFFSET($C22,-1,0)*OFFSET(BS20,1,0):OFFSET(BS22,-1,0))-SUMPRODUCT(OFFSET($C20,1,0):OFFSET($C22,-1,0)*--(OFFSET($E20,1,0):OFFSET($E22,-1,0)=BS$4)*OFFSET($W20,1,0):OFFSET(BR22,-1,0))</f>
        <v>0</v>
      </c>
    </row>
    <row r="51" spans="1:71" x14ac:dyDescent="0.2">
      <c r="A51" s="36" t="s">
        <v>41</v>
      </c>
      <c r="B51" s="37" t="s">
        <v>98</v>
      </c>
      <c r="G51" s="37" t="str">
        <f>$G$24</f>
        <v>Technical Expenses</v>
      </c>
      <c r="V51" s="81">
        <f t="shared" ca="1" si="9"/>
        <v>142500</v>
      </c>
      <c r="X51" s="68">
        <f ca="1">SUMPRODUCT(OFFSET($C24,1,0):OFFSET($C28,-1,0)*OFFSET(X24,1,0):OFFSET(X28,-1,0))-SUMPRODUCT(OFFSET($C24,1,0):OFFSET($C28,-1,0)*--(OFFSET($E24,1,0):OFFSET($E28,-1,0)=X$4)*OFFSET($W24,1,0):OFFSET(W28,-1,0))</f>
        <v>0</v>
      </c>
      <c r="Y51" s="68">
        <f ca="1">SUMPRODUCT(OFFSET($C24,1,0):OFFSET($C28,-1,0)*OFFSET(Y24,1,0):OFFSET(Y28,-1,0))-SUMPRODUCT(OFFSET($C24,1,0):OFFSET($C28,-1,0)*--(OFFSET($E24,1,0):OFFSET($E28,-1,0)=Y$4)*OFFSET($W24,1,0):OFFSET(X28,-1,0))</f>
        <v>0</v>
      </c>
      <c r="Z51" s="68">
        <f ca="1">SUMPRODUCT(OFFSET($C24,1,0):OFFSET($C28,-1,0)*OFFSET(Z24,1,0):OFFSET(Z28,-1,0))-SUMPRODUCT(OFFSET($C24,1,0):OFFSET($C28,-1,0)*--(OFFSET($E24,1,0):OFFSET($E28,-1,0)=Z$4)*OFFSET($W24,1,0):OFFSET(Y28,-1,0))</f>
        <v>0</v>
      </c>
      <c r="AA51" s="68">
        <f ca="1">SUMPRODUCT(OFFSET($C24,1,0):OFFSET($C28,-1,0)*OFFSET(AA24,1,0):OFFSET(AA28,-1,0))-SUMPRODUCT(OFFSET($C24,1,0):OFFSET($C28,-1,0)*--(OFFSET($E24,1,0):OFFSET($E28,-1,0)=AA$4)*OFFSET($W24,1,0):OFFSET(Z28,-1,0))</f>
        <v>0</v>
      </c>
      <c r="AB51" s="68">
        <f ca="1">SUMPRODUCT(OFFSET($C24,1,0):OFFSET($C28,-1,0)*OFFSET(AB24,1,0):OFFSET(AB28,-1,0))-SUMPRODUCT(OFFSET($C24,1,0):OFFSET($C28,-1,0)*--(OFFSET($E24,1,0):OFFSET($E28,-1,0)=AB$4)*OFFSET($W24,1,0):OFFSET(AA28,-1,0))</f>
        <v>4398.3778692313681</v>
      </c>
      <c r="AC51" s="68">
        <f ca="1">SUMPRODUCT(OFFSET($C24,1,0):OFFSET($C28,-1,0)*OFFSET(AC24,1,0):OFFSET(AC28,-1,0))-SUMPRODUCT(OFFSET($C24,1,0):OFFSET($C28,-1,0)*--(OFFSET($E24,1,0):OFFSET($E28,-1,0)=AC$4)*OFFSET($W24,1,0):OFFSET(AB28,-1,0))</f>
        <v>5282.0456175421796</v>
      </c>
      <c r="AD51" s="68">
        <f ca="1">SUMPRODUCT(OFFSET($C24,1,0):OFFSET($C28,-1,0)*OFFSET(AD24,1,0):OFFSET(AD28,-1,0))-SUMPRODUCT(OFFSET($C24,1,0):OFFSET($C28,-1,0)*--(OFFSET($E24,1,0):OFFSET($E28,-1,0)=AD$4)*OFFSET($W24,1,0):OFFSET(AC28,-1,0))</f>
        <v>6243.7181122607026</v>
      </c>
      <c r="AE51" s="68">
        <f ca="1">SUMPRODUCT(OFFSET($C24,1,0):OFFSET($C28,-1,0)*OFFSET(AE24,1,0):OFFSET(AE28,-1,0))-SUMPRODUCT(OFFSET($C24,1,0):OFFSET($C28,-1,0)*--(OFFSET($E24,1,0):OFFSET($E28,-1,0)=AE$4)*OFFSET($W24,1,0):OFFSET(AD28,-1,0))</f>
        <v>7243.9769305946011</v>
      </c>
      <c r="AF51" s="68">
        <f ca="1">SUMPRODUCT(OFFSET($C24,1,0):OFFSET($C28,-1,0)*OFFSET(AF24,1,0):OFFSET(AF28,-1,0))-SUMPRODUCT(OFFSET($C24,1,0):OFFSET($C28,-1,0)*--(OFFSET($E24,1,0):OFFSET($E28,-1,0)=AF$4)*OFFSET($W24,1,0):OFFSET(AE28,-1,0))</f>
        <v>8224.6720703486644</v>
      </c>
      <c r="AG51" s="68">
        <f ca="1">SUMPRODUCT(OFFSET($C24,1,0):OFFSET($C28,-1,0)*OFFSET(AG24,1,0):OFFSET(AG28,-1,0))-SUMPRODUCT(OFFSET($C24,1,0):OFFSET($C28,-1,0)*--(OFFSET($E24,1,0):OFFSET($E28,-1,0)=AG$4)*OFFSET($W24,1,0):OFFSET(AF28,-1,0))</f>
        <v>9111.960434115339</v>
      </c>
      <c r="AH51" s="68">
        <f ca="1">SUMPRODUCT(OFFSET($C24,1,0):OFFSET($C28,-1,0)*OFFSET(AH24,1,0):OFFSET(AH28,-1,0))-SUMPRODUCT(OFFSET($C24,1,0):OFFSET($C28,-1,0)*--(OFFSET($E24,1,0):OFFSET($E28,-1,0)=AH$4)*OFFSET($W24,1,0):OFFSET(AG28,-1,0))</f>
        <v>9824.7941003386841</v>
      </c>
      <c r="AI51" s="68">
        <f ca="1">SUMPRODUCT(OFFSET($C24,1,0):OFFSET($C28,-1,0)*OFFSET(AI24,1,0):OFFSET(AI28,-1,0))-SUMPRODUCT(OFFSET($C24,1,0):OFFSET($C28,-1,0)*--(OFFSET($E24,1,0):OFFSET($E28,-1,0)=AI$4)*OFFSET($W24,1,0):OFFSET(AH28,-1,0))</f>
        <v>10288.336179177268</v>
      </c>
      <c r="AJ51" s="68">
        <f ca="1">SUMPRODUCT(OFFSET($C24,1,0):OFFSET($C28,-1,0)*OFFSET(AJ24,1,0):OFFSET(AJ28,-1,0))-SUMPRODUCT(OFFSET($C24,1,0):OFFSET($C28,-1,0)*--(OFFSET($E24,1,0):OFFSET($E28,-1,0)=AJ$4)*OFFSET($W24,1,0):OFFSET(AI28,-1,0))</f>
        <v>10449.300857761868</v>
      </c>
      <c r="AK51" s="68">
        <f ca="1">SUMPRODUCT(OFFSET($C24,1,0):OFFSET($C28,-1,0)*OFFSET(AK24,1,0):OFFSET(AK28,-1,0))-SUMPRODUCT(OFFSET($C24,1,0):OFFSET($C28,-1,0)*--(OFFSET($E24,1,0):OFFSET($E28,-1,0)=AK$4)*OFFSET($W24,1,0):OFFSET(AJ28,-1,0))</f>
        <v>10288.336179177244</v>
      </c>
      <c r="AL51" s="68">
        <f ca="1">SUMPRODUCT(OFFSET($C24,1,0):OFFSET($C28,-1,0)*OFFSET(AL24,1,0):OFFSET(AL28,-1,0))-SUMPRODUCT(OFFSET($C24,1,0):OFFSET($C28,-1,0)*--(OFFSET($E24,1,0):OFFSET($E28,-1,0)=AL$4)*OFFSET($W24,1,0):OFFSET(AK28,-1,0))</f>
        <v>9824.7941003387059</v>
      </c>
      <c r="AM51" s="68">
        <f ca="1">SUMPRODUCT(OFFSET($C24,1,0):OFFSET($C28,-1,0)*OFFSET(AM24,1,0):OFFSET(AM28,-1,0))-SUMPRODUCT(OFFSET($C24,1,0):OFFSET($C28,-1,0)*--(OFFSET($E24,1,0):OFFSET($E28,-1,0)=AM$4)*OFFSET($W24,1,0):OFFSET(AL28,-1,0))</f>
        <v>9111.9604341153226</v>
      </c>
      <c r="AN51" s="68">
        <f ca="1">SUMPRODUCT(OFFSET($C24,1,0):OFFSET($C28,-1,0)*OFFSET(AN24,1,0):OFFSET(AN28,-1,0))-SUMPRODUCT(OFFSET($C24,1,0):OFFSET($C28,-1,0)*--(OFFSET($E24,1,0):OFFSET($E28,-1,0)=AN$4)*OFFSET($W24,1,0):OFFSET(AM28,-1,0))</f>
        <v>8224.6720703486662</v>
      </c>
      <c r="AO51" s="68">
        <f ca="1">SUMPRODUCT(OFFSET($C24,1,0):OFFSET($C28,-1,0)*OFFSET(AO24,1,0):OFFSET(AO28,-1,0))-SUMPRODUCT(OFFSET($C24,1,0):OFFSET($C28,-1,0)*--(OFFSET($E24,1,0):OFFSET($E28,-1,0)=AO$4)*OFFSET($W24,1,0):OFFSET(AN28,-1,0))</f>
        <v>7243.976930594632</v>
      </c>
      <c r="AP51" s="68">
        <f ca="1">SUMPRODUCT(OFFSET($C24,1,0):OFFSET($C28,-1,0)*OFFSET(AP24,1,0):OFFSET(AP28,-1,0))-SUMPRODUCT(OFFSET($C24,1,0):OFFSET($C28,-1,0)*--(OFFSET($E24,1,0):OFFSET($E28,-1,0)=AP$4)*OFFSET($W24,1,0):OFFSET(AO28,-1,0))</f>
        <v>6243.7181122606835</v>
      </c>
      <c r="AQ51" s="68">
        <f ca="1">SUMPRODUCT(OFFSET($C24,1,0):OFFSET($C28,-1,0)*OFFSET(AQ24,1,0):OFFSET(AQ28,-1,0))-SUMPRODUCT(OFFSET($C24,1,0):OFFSET($C28,-1,0)*--(OFFSET($E24,1,0):OFFSET($E28,-1,0)=AQ$4)*OFFSET($W24,1,0):OFFSET(AP28,-1,0))</f>
        <v>5282.045617542175</v>
      </c>
      <c r="AR51" s="68">
        <f ca="1">SUMPRODUCT(OFFSET($C24,1,0):OFFSET($C28,-1,0)*OFFSET(AR24,1,0):OFFSET(AR28,-1,0))-SUMPRODUCT(OFFSET($C24,1,0):OFFSET($C28,-1,0)*--(OFFSET($E24,1,0):OFFSET($E28,-1,0)=AR$4)*OFFSET($W24,1,0):OFFSET(AQ28,-1,0))</f>
        <v>4398.3778692313763</v>
      </c>
      <c r="AS51" s="68">
        <f ca="1">SUMPRODUCT(OFFSET($C24,1,0):OFFSET($C28,-1,0)*OFFSET(AS24,1,0):OFFSET(AS28,-1,0))-SUMPRODUCT(OFFSET($C24,1,0):OFFSET($C28,-1,0)*--(OFFSET($E24,1,0):OFFSET($E28,-1,0)=AS$4)*OFFSET($W24,1,0):OFFSET(AR28,-1,0))</f>
        <v>3614.5645755669534</v>
      </c>
      <c r="AT51" s="68">
        <f ca="1">SUMPRODUCT(OFFSET($C24,1,0):OFFSET($C28,-1,0)*OFFSET(AT24,1,0):OFFSET(AT28,-1,0))-SUMPRODUCT(OFFSET($C24,1,0):OFFSET($C28,-1,0)*--(OFFSET($E24,1,0):OFFSET($E28,-1,0)=AT$4)*OFFSET($W24,1,0):OFFSET(AS28,-1,0))</f>
        <v>2938.3772645127437</v>
      </c>
      <c r="AU51" s="68">
        <f ca="1">SUMPRODUCT(OFFSET($C24,1,0):OFFSET($C28,-1,0)*OFFSET(AU24,1,0):OFFSET(AU28,-1,0))-SUMPRODUCT(OFFSET($C24,1,0):OFFSET($C28,-1,0)*--(OFFSET($E24,1,0):OFFSET($E28,-1,0)=AU$4)*OFFSET($W24,1,0):OFFSET(AT28,-1,0))</f>
        <v>2367.6899245906088</v>
      </c>
      <c r="AV51" s="68">
        <f ca="1">SUMPRODUCT(OFFSET($C24,1,0):OFFSET($C28,-1,0)*OFFSET(AV24,1,0):OFFSET(AV28,-1,0))-SUMPRODUCT(OFFSET($C24,1,0):OFFSET($C28,-1,0)*--(OFFSET($E24,1,0):OFFSET($E28,-1,0)=AV$4)*OFFSET($W24,1,0):OFFSET(AU28,-1,0))</f>
        <v>1894.3047503502353</v>
      </c>
      <c r="AW51" s="68">
        <f ca="1">SUMPRODUCT(OFFSET($C24,1,0):OFFSET($C28,-1,0)*OFFSET(AW24,1,0):OFFSET(AW28,-1,0))-SUMPRODUCT(OFFSET($C24,1,0):OFFSET($C28,-1,0)*--(OFFSET($E24,1,0):OFFSET($E28,-1,0)=AW$4)*OFFSET($W24,1,0):OFFSET(AV28,-1,0))</f>
        <v>0</v>
      </c>
      <c r="AX51" s="68">
        <f ca="1">SUMPRODUCT(OFFSET($C24,1,0):OFFSET($C28,-1,0)*OFFSET(AX24,1,0):OFFSET(AX28,-1,0))-SUMPRODUCT(OFFSET($C24,1,0):OFFSET($C28,-1,0)*--(OFFSET($E24,1,0):OFFSET($E28,-1,0)=AX$4)*OFFSET($W24,1,0):OFFSET(AW28,-1,0))</f>
        <v>0</v>
      </c>
      <c r="AY51" s="68">
        <f ca="1">SUMPRODUCT(OFFSET($C24,1,0):OFFSET($C28,-1,0)*OFFSET(AY24,1,0):OFFSET(AY28,-1,0))-SUMPRODUCT(OFFSET($C24,1,0):OFFSET($C28,-1,0)*--(OFFSET($E24,1,0):OFFSET($E28,-1,0)=AY$4)*OFFSET($W24,1,0):OFFSET(AX28,-1,0))</f>
        <v>0</v>
      </c>
      <c r="AZ51" s="68">
        <f ca="1">SUMPRODUCT(OFFSET($C24,1,0):OFFSET($C28,-1,0)*OFFSET(AZ24,1,0):OFFSET(AZ28,-1,0))-SUMPRODUCT(OFFSET($C24,1,0):OFFSET($C28,-1,0)*--(OFFSET($E24,1,0):OFFSET($E28,-1,0)=AZ$4)*OFFSET($W24,1,0):OFFSET(AY28,-1,0))</f>
        <v>0</v>
      </c>
      <c r="BA51" s="68">
        <f ca="1">SUMPRODUCT(OFFSET($C24,1,0):OFFSET($C28,-1,0)*OFFSET(BA24,1,0):OFFSET(BA28,-1,0))-SUMPRODUCT(OFFSET($C24,1,0):OFFSET($C28,-1,0)*--(OFFSET($E24,1,0):OFFSET($E28,-1,0)=BA$4)*OFFSET($W24,1,0):OFFSET(AZ28,-1,0))</f>
        <v>0</v>
      </c>
      <c r="BB51" s="68">
        <f ca="1">SUMPRODUCT(OFFSET($C24,1,0):OFFSET($C28,-1,0)*OFFSET(BB24,1,0):OFFSET(BB28,-1,0))-SUMPRODUCT(OFFSET($C24,1,0):OFFSET($C28,-1,0)*--(OFFSET($E24,1,0):OFFSET($E28,-1,0)=BB$4)*OFFSET($W24,1,0):OFFSET(BA28,-1,0))</f>
        <v>0</v>
      </c>
      <c r="BC51" s="68">
        <f ca="1">SUMPRODUCT(OFFSET($C24,1,0):OFFSET($C28,-1,0)*OFFSET(BC24,1,0):OFFSET(BC28,-1,0))-SUMPRODUCT(OFFSET($C24,1,0):OFFSET($C28,-1,0)*--(OFFSET($E24,1,0):OFFSET($E28,-1,0)=BC$4)*OFFSET($W24,1,0):OFFSET(BB28,-1,0))</f>
        <v>0</v>
      </c>
      <c r="BD51" s="68">
        <f ca="1">SUMPRODUCT(OFFSET($C24,1,0):OFFSET($C28,-1,0)*OFFSET(BD24,1,0):OFFSET(BD28,-1,0))-SUMPRODUCT(OFFSET($C24,1,0):OFFSET($C28,-1,0)*--(OFFSET($E24,1,0):OFFSET($E28,-1,0)=BD$4)*OFFSET($W24,1,0):OFFSET(BC28,-1,0))</f>
        <v>0</v>
      </c>
      <c r="BE51" s="68">
        <f ca="1">SUMPRODUCT(OFFSET($C24,1,0):OFFSET($C28,-1,0)*OFFSET(BE24,1,0):OFFSET(BE28,-1,0))-SUMPRODUCT(OFFSET($C24,1,0):OFFSET($C28,-1,0)*--(OFFSET($E24,1,0):OFFSET($E28,-1,0)=BE$4)*OFFSET($W24,1,0):OFFSET(BD28,-1,0))</f>
        <v>0</v>
      </c>
      <c r="BF51" s="68">
        <f ca="1">SUMPRODUCT(OFFSET($C24,1,0):OFFSET($C28,-1,0)*OFFSET(BF24,1,0):OFFSET(BF28,-1,0))-SUMPRODUCT(OFFSET($C24,1,0):OFFSET($C28,-1,0)*--(OFFSET($E24,1,0):OFFSET($E28,-1,0)=BF$4)*OFFSET($W24,1,0):OFFSET(BE28,-1,0))</f>
        <v>0</v>
      </c>
      <c r="BG51" s="68">
        <f ca="1">SUMPRODUCT(OFFSET($C24,1,0):OFFSET($C28,-1,0)*OFFSET(BG24,1,0):OFFSET(BG28,-1,0))-SUMPRODUCT(OFFSET($C24,1,0):OFFSET($C28,-1,0)*--(OFFSET($E24,1,0):OFFSET($E28,-1,0)=BG$4)*OFFSET($W24,1,0):OFFSET(BF28,-1,0))</f>
        <v>0</v>
      </c>
      <c r="BH51" s="68">
        <f ca="1">SUMPRODUCT(OFFSET($C24,1,0):OFFSET($C28,-1,0)*OFFSET(BH24,1,0):OFFSET(BH28,-1,0))-SUMPRODUCT(OFFSET($C24,1,0):OFFSET($C28,-1,0)*--(OFFSET($E24,1,0):OFFSET($E28,-1,0)=BH$4)*OFFSET($W24,1,0):OFFSET(BG28,-1,0))</f>
        <v>0</v>
      </c>
      <c r="BI51" s="68">
        <f ca="1">SUMPRODUCT(OFFSET($C24,1,0):OFFSET($C28,-1,0)*OFFSET(BI24,1,0):OFFSET(BI28,-1,0))-SUMPRODUCT(OFFSET($C24,1,0):OFFSET($C28,-1,0)*--(OFFSET($E24,1,0):OFFSET($E28,-1,0)=BI$4)*OFFSET($W24,1,0):OFFSET(BH28,-1,0))</f>
        <v>0</v>
      </c>
      <c r="BJ51" s="68">
        <f ca="1">SUMPRODUCT(OFFSET($C24,1,0):OFFSET($C28,-1,0)*OFFSET(BJ24,1,0):OFFSET(BJ28,-1,0))-SUMPRODUCT(OFFSET($C24,1,0):OFFSET($C28,-1,0)*--(OFFSET($E24,1,0):OFFSET($E28,-1,0)=BJ$4)*OFFSET($W24,1,0):OFFSET(BI28,-1,0))</f>
        <v>0</v>
      </c>
      <c r="BK51" s="68">
        <f ca="1">SUMPRODUCT(OFFSET($C24,1,0):OFFSET($C28,-1,0)*OFFSET(BK24,1,0):OFFSET(BK28,-1,0))-SUMPRODUCT(OFFSET($C24,1,0):OFFSET($C28,-1,0)*--(OFFSET($E24,1,0):OFFSET($E28,-1,0)=BK$4)*OFFSET($W24,1,0):OFFSET(BJ28,-1,0))</f>
        <v>0</v>
      </c>
      <c r="BL51" s="68">
        <f ca="1">SUMPRODUCT(OFFSET($C24,1,0):OFFSET($C28,-1,0)*OFFSET(BL24,1,0):OFFSET(BL28,-1,0))-SUMPRODUCT(OFFSET($C24,1,0):OFFSET($C28,-1,0)*--(OFFSET($E24,1,0):OFFSET($E28,-1,0)=BL$4)*OFFSET($W24,1,0):OFFSET(BK28,-1,0))</f>
        <v>0</v>
      </c>
      <c r="BM51" s="68">
        <f ca="1">SUMPRODUCT(OFFSET($C24,1,0):OFFSET($C28,-1,0)*OFFSET(BM24,1,0):OFFSET(BM28,-1,0))-SUMPRODUCT(OFFSET($C24,1,0):OFFSET($C28,-1,0)*--(OFFSET($E24,1,0):OFFSET($E28,-1,0)=BM$4)*OFFSET($W24,1,0):OFFSET(BL28,-1,0))</f>
        <v>0</v>
      </c>
      <c r="BN51" s="68">
        <f ca="1">SUMPRODUCT(OFFSET($C24,1,0):OFFSET($C28,-1,0)*OFFSET(BN24,1,0):OFFSET(BN28,-1,0))-SUMPRODUCT(OFFSET($C24,1,0):OFFSET($C28,-1,0)*--(OFFSET($E24,1,0):OFFSET($E28,-1,0)=BN$4)*OFFSET($W24,1,0):OFFSET(BM28,-1,0))</f>
        <v>0</v>
      </c>
      <c r="BO51" s="68">
        <f ca="1">SUMPRODUCT(OFFSET($C24,1,0):OFFSET($C28,-1,0)*OFFSET(BO24,1,0):OFFSET(BO28,-1,0))-SUMPRODUCT(OFFSET($C24,1,0):OFFSET($C28,-1,0)*--(OFFSET($E24,1,0):OFFSET($E28,-1,0)=BO$4)*OFFSET($W24,1,0):OFFSET(BN28,-1,0))</f>
        <v>0</v>
      </c>
      <c r="BP51" s="68">
        <f ca="1">SUMPRODUCT(OFFSET($C24,1,0):OFFSET($C28,-1,0)*OFFSET(BP24,1,0):OFFSET(BP28,-1,0))-SUMPRODUCT(OFFSET($C24,1,0):OFFSET($C28,-1,0)*--(OFFSET($E24,1,0):OFFSET($E28,-1,0)=BP$4)*OFFSET($W24,1,0):OFFSET(BO28,-1,0))</f>
        <v>0</v>
      </c>
      <c r="BQ51" s="68">
        <f ca="1">SUMPRODUCT(OFFSET($C24,1,0):OFFSET($C28,-1,0)*OFFSET(BQ24,1,0):OFFSET(BQ28,-1,0))-SUMPRODUCT(OFFSET($C24,1,0):OFFSET($C28,-1,0)*--(OFFSET($E24,1,0):OFFSET($E28,-1,0)=BQ$4)*OFFSET($W24,1,0):OFFSET(BP28,-1,0))</f>
        <v>0</v>
      </c>
      <c r="BR51" s="68">
        <f ca="1">SUMPRODUCT(OFFSET($C24,1,0):OFFSET($C28,-1,0)*OFFSET(BR24,1,0):OFFSET(BR28,-1,0))-SUMPRODUCT(OFFSET($C24,1,0):OFFSET($C28,-1,0)*--(OFFSET($E24,1,0):OFFSET($E28,-1,0)=BR$4)*OFFSET($W24,1,0):OFFSET(BQ28,-1,0))</f>
        <v>0</v>
      </c>
      <c r="BS51" s="68">
        <f ca="1">SUMPRODUCT(OFFSET($C24,1,0):OFFSET($C28,-1,0)*OFFSET(BS24,1,0):OFFSET(BS28,-1,0))-SUMPRODUCT(OFFSET($C24,1,0):OFFSET($C28,-1,0)*--(OFFSET($E24,1,0):OFFSET($E28,-1,0)=BS$4)*OFFSET($W24,1,0):OFFSET(BR28,-1,0))</f>
        <v>0</v>
      </c>
    </row>
    <row r="52" spans="1:71" x14ac:dyDescent="0.2">
      <c r="A52" s="36" t="s">
        <v>41</v>
      </c>
      <c r="B52" s="37" t="s">
        <v>99</v>
      </c>
      <c r="G52" s="37" t="str">
        <f>$G$30</f>
        <v>Lease Expenses</v>
      </c>
      <c r="V52" s="81">
        <f t="shared" ca="1" si="9"/>
        <v>0</v>
      </c>
      <c r="X52" s="68">
        <f ca="1">SUMPRODUCT(OFFSET($C30,1,0):OFFSET($C34,-1,0)*OFFSET(X30,1,0):OFFSET(X34,-1,0))-SUMPRODUCT(OFFSET($C30,1,0):OFFSET($C34,-1,0)*--(OFFSET($E30,1,0):OFFSET($E34,-1,0)=X$4)*OFFSET($W30,1,0):OFFSET(W34,-1,0))</f>
        <v>0</v>
      </c>
      <c r="Y52" s="68">
        <f ca="1">SUMPRODUCT(OFFSET($C30,1,0):OFFSET($C34,-1,0)*OFFSET(Y30,1,0):OFFSET(Y34,-1,0))-SUMPRODUCT(OFFSET($C30,1,0):OFFSET($C34,-1,0)*--(OFFSET($E30,1,0):OFFSET($E34,-1,0)=Y$4)*OFFSET($W30,1,0):OFFSET(X34,-1,0))</f>
        <v>0</v>
      </c>
      <c r="Z52" s="68">
        <f ca="1">SUMPRODUCT(OFFSET($C30,1,0):OFFSET($C34,-1,0)*OFFSET(Z30,1,0):OFFSET(Z34,-1,0))-SUMPRODUCT(OFFSET($C30,1,0):OFFSET($C34,-1,0)*--(OFFSET($E30,1,0):OFFSET($E34,-1,0)=Z$4)*OFFSET($W30,1,0):OFFSET(Y34,-1,0))</f>
        <v>0</v>
      </c>
      <c r="AA52" s="68">
        <f ca="1">SUMPRODUCT(OFFSET($C30,1,0):OFFSET($C34,-1,0)*OFFSET(AA30,1,0):OFFSET(AA34,-1,0))-SUMPRODUCT(OFFSET($C30,1,0):OFFSET($C34,-1,0)*--(OFFSET($E30,1,0):OFFSET($E34,-1,0)=AA$4)*OFFSET($W30,1,0):OFFSET(Z34,-1,0))</f>
        <v>0</v>
      </c>
      <c r="AB52" s="68">
        <f ca="1">SUMPRODUCT(OFFSET($C30,1,0):OFFSET($C34,-1,0)*OFFSET(AB30,1,0):OFFSET(AB34,-1,0))-SUMPRODUCT(OFFSET($C30,1,0):OFFSET($C34,-1,0)*--(OFFSET($E30,1,0):OFFSET($E34,-1,0)=AB$4)*OFFSET($W30,1,0):OFFSET(AA34,-1,0))</f>
        <v>0</v>
      </c>
      <c r="AC52" s="68">
        <f ca="1">SUMPRODUCT(OFFSET($C30,1,0):OFFSET($C34,-1,0)*OFFSET(AC30,1,0):OFFSET(AC34,-1,0))-SUMPRODUCT(OFFSET($C30,1,0):OFFSET($C34,-1,0)*--(OFFSET($E30,1,0):OFFSET($E34,-1,0)=AC$4)*OFFSET($W30,1,0):OFFSET(AB34,-1,0))</f>
        <v>0</v>
      </c>
      <c r="AD52" s="68">
        <f ca="1">SUMPRODUCT(OFFSET($C30,1,0):OFFSET($C34,-1,0)*OFFSET(AD30,1,0):OFFSET(AD34,-1,0))-SUMPRODUCT(OFFSET($C30,1,0):OFFSET($C34,-1,0)*--(OFFSET($E30,1,0):OFFSET($E34,-1,0)=AD$4)*OFFSET($W30,1,0):OFFSET(AC34,-1,0))</f>
        <v>0</v>
      </c>
      <c r="AE52" s="68">
        <f ca="1">SUMPRODUCT(OFFSET($C30,1,0):OFFSET($C34,-1,0)*OFFSET(AE30,1,0):OFFSET(AE34,-1,0))-SUMPRODUCT(OFFSET($C30,1,0):OFFSET($C34,-1,0)*--(OFFSET($E30,1,0):OFFSET($E34,-1,0)=AE$4)*OFFSET($W30,1,0):OFFSET(AD34,-1,0))</f>
        <v>0</v>
      </c>
      <c r="AF52" s="68">
        <f ca="1">SUMPRODUCT(OFFSET($C30,1,0):OFFSET($C34,-1,0)*OFFSET(AF30,1,0):OFFSET(AF34,-1,0))-SUMPRODUCT(OFFSET($C30,1,0):OFFSET($C34,-1,0)*--(OFFSET($E30,1,0):OFFSET($E34,-1,0)=AF$4)*OFFSET($W30,1,0):OFFSET(AE34,-1,0))</f>
        <v>0</v>
      </c>
      <c r="AG52" s="68">
        <f ca="1">SUMPRODUCT(OFFSET($C30,1,0):OFFSET($C34,-1,0)*OFFSET(AG30,1,0):OFFSET(AG34,-1,0))-SUMPRODUCT(OFFSET($C30,1,0):OFFSET($C34,-1,0)*--(OFFSET($E30,1,0):OFFSET($E34,-1,0)=AG$4)*OFFSET($W30,1,0):OFFSET(AF34,-1,0))</f>
        <v>0</v>
      </c>
      <c r="AH52" s="68">
        <f ca="1">SUMPRODUCT(OFFSET($C30,1,0):OFFSET($C34,-1,0)*OFFSET(AH30,1,0):OFFSET(AH34,-1,0))-SUMPRODUCT(OFFSET($C30,1,0):OFFSET($C34,-1,0)*--(OFFSET($E30,1,0):OFFSET($E34,-1,0)=AH$4)*OFFSET($W30,1,0):OFFSET(AG34,-1,0))</f>
        <v>0</v>
      </c>
      <c r="AI52" s="68">
        <f ca="1">SUMPRODUCT(OFFSET($C30,1,0):OFFSET($C34,-1,0)*OFFSET(AI30,1,0):OFFSET(AI34,-1,0))-SUMPRODUCT(OFFSET($C30,1,0):OFFSET($C34,-1,0)*--(OFFSET($E30,1,0):OFFSET($E34,-1,0)=AI$4)*OFFSET($W30,1,0):OFFSET(AH34,-1,0))</f>
        <v>0</v>
      </c>
      <c r="AJ52" s="68">
        <f ca="1">SUMPRODUCT(OFFSET($C30,1,0):OFFSET($C34,-1,0)*OFFSET(AJ30,1,0):OFFSET(AJ34,-1,0))-SUMPRODUCT(OFFSET($C30,1,0):OFFSET($C34,-1,0)*--(OFFSET($E30,1,0):OFFSET($E34,-1,0)=AJ$4)*OFFSET($W30,1,0):OFFSET(AI34,-1,0))</f>
        <v>0</v>
      </c>
      <c r="AK52" s="68">
        <f ca="1">SUMPRODUCT(OFFSET($C30,1,0):OFFSET($C34,-1,0)*OFFSET(AK30,1,0):OFFSET(AK34,-1,0))-SUMPRODUCT(OFFSET($C30,1,0):OFFSET($C34,-1,0)*--(OFFSET($E30,1,0):OFFSET($E34,-1,0)=AK$4)*OFFSET($W30,1,0):OFFSET(AJ34,-1,0))</f>
        <v>0</v>
      </c>
      <c r="AL52" s="68">
        <f ca="1">SUMPRODUCT(OFFSET($C30,1,0):OFFSET($C34,-1,0)*OFFSET(AL30,1,0):OFFSET(AL34,-1,0))-SUMPRODUCT(OFFSET($C30,1,0):OFFSET($C34,-1,0)*--(OFFSET($E30,1,0):OFFSET($E34,-1,0)=AL$4)*OFFSET($W30,1,0):OFFSET(AK34,-1,0))</f>
        <v>0</v>
      </c>
      <c r="AM52" s="68">
        <f ca="1">SUMPRODUCT(OFFSET($C30,1,0):OFFSET($C34,-1,0)*OFFSET(AM30,1,0):OFFSET(AM34,-1,0))-SUMPRODUCT(OFFSET($C30,1,0):OFFSET($C34,-1,0)*--(OFFSET($E30,1,0):OFFSET($E34,-1,0)=AM$4)*OFFSET($W30,1,0):OFFSET(AL34,-1,0))</f>
        <v>0</v>
      </c>
      <c r="AN52" s="68">
        <f ca="1">SUMPRODUCT(OFFSET($C30,1,0):OFFSET($C34,-1,0)*OFFSET(AN30,1,0):OFFSET(AN34,-1,0))-SUMPRODUCT(OFFSET($C30,1,0):OFFSET($C34,-1,0)*--(OFFSET($E30,1,0):OFFSET($E34,-1,0)=AN$4)*OFFSET($W30,1,0):OFFSET(AM34,-1,0))</f>
        <v>0</v>
      </c>
      <c r="AO52" s="68">
        <f ca="1">SUMPRODUCT(OFFSET($C30,1,0):OFFSET($C34,-1,0)*OFFSET(AO30,1,0):OFFSET(AO34,-1,0))-SUMPRODUCT(OFFSET($C30,1,0):OFFSET($C34,-1,0)*--(OFFSET($E30,1,0):OFFSET($E34,-1,0)=AO$4)*OFFSET($W30,1,0):OFFSET(AN34,-1,0))</f>
        <v>0</v>
      </c>
      <c r="AP52" s="68">
        <f ca="1">SUMPRODUCT(OFFSET($C30,1,0):OFFSET($C34,-1,0)*OFFSET(AP30,1,0):OFFSET(AP34,-1,0))-SUMPRODUCT(OFFSET($C30,1,0):OFFSET($C34,-1,0)*--(OFFSET($E30,1,0):OFFSET($E34,-1,0)=AP$4)*OFFSET($W30,1,0):OFFSET(AO34,-1,0))</f>
        <v>0</v>
      </c>
      <c r="AQ52" s="68">
        <f ca="1">SUMPRODUCT(OFFSET($C30,1,0):OFFSET($C34,-1,0)*OFFSET(AQ30,1,0):OFFSET(AQ34,-1,0))-SUMPRODUCT(OFFSET($C30,1,0):OFFSET($C34,-1,0)*--(OFFSET($E30,1,0):OFFSET($E34,-1,0)=AQ$4)*OFFSET($W30,1,0):OFFSET(AP34,-1,0))</f>
        <v>0</v>
      </c>
      <c r="AR52" s="68">
        <f ca="1">SUMPRODUCT(OFFSET($C30,1,0):OFFSET($C34,-1,0)*OFFSET(AR30,1,0):OFFSET(AR34,-1,0))-SUMPRODUCT(OFFSET($C30,1,0):OFFSET($C34,-1,0)*--(OFFSET($E30,1,0):OFFSET($E34,-1,0)=AR$4)*OFFSET($W30,1,0):OFFSET(AQ34,-1,0))</f>
        <v>0</v>
      </c>
      <c r="AS52" s="68">
        <f ca="1">SUMPRODUCT(OFFSET($C30,1,0):OFFSET($C34,-1,0)*OFFSET(AS30,1,0):OFFSET(AS34,-1,0))-SUMPRODUCT(OFFSET($C30,1,0):OFFSET($C34,-1,0)*--(OFFSET($E30,1,0):OFFSET($E34,-1,0)=AS$4)*OFFSET($W30,1,0):OFFSET(AR34,-1,0))</f>
        <v>0</v>
      </c>
      <c r="AT52" s="68">
        <f ca="1">SUMPRODUCT(OFFSET($C30,1,0):OFFSET($C34,-1,0)*OFFSET(AT30,1,0):OFFSET(AT34,-1,0))-SUMPRODUCT(OFFSET($C30,1,0):OFFSET($C34,-1,0)*--(OFFSET($E30,1,0):OFFSET($E34,-1,0)=AT$4)*OFFSET($W30,1,0):OFFSET(AS34,-1,0))</f>
        <v>0</v>
      </c>
      <c r="AU52" s="68">
        <f ca="1">SUMPRODUCT(OFFSET($C30,1,0):OFFSET($C34,-1,0)*OFFSET(AU30,1,0):OFFSET(AU34,-1,0))-SUMPRODUCT(OFFSET($C30,1,0):OFFSET($C34,-1,0)*--(OFFSET($E30,1,0):OFFSET($E34,-1,0)=AU$4)*OFFSET($W30,1,0):OFFSET(AT34,-1,0))</f>
        <v>0</v>
      </c>
      <c r="AV52" s="68">
        <f ca="1">SUMPRODUCT(OFFSET($C30,1,0):OFFSET($C34,-1,0)*OFFSET(AV30,1,0):OFFSET(AV34,-1,0))-SUMPRODUCT(OFFSET($C30,1,0):OFFSET($C34,-1,0)*--(OFFSET($E30,1,0):OFFSET($E34,-1,0)=AV$4)*OFFSET($W30,1,0):OFFSET(AU34,-1,0))</f>
        <v>0</v>
      </c>
      <c r="AW52" s="68">
        <f ca="1">SUMPRODUCT(OFFSET($C30,1,0):OFFSET($C34,-1,0)*OFFSET(AW30,1,0):OFFSET(AW34,-1,0))-SUMPRODUCT(OFFSET($C30,1,0):OFFSET($C34,-1,0)*--(OFFSET($E30,1,0):OFFSET($E34,-1,0)=AW$4)*OFFSET($W30,1,0):OFFSET(AV34,-1,0))</f>
        <v>0</v>
      </c>
      <c r="AX52" s="68">
        <f ca="1">SUMPRODUCT(OFFSET($C30,1,0):OFFSET($C34,-1,0)*OFFSET(AX30,1,0):OFFSET(AX34,-1,0))-SUMPRODUCT(OFFSET($C30,1,0):OFFSET($C34,-1,0)*--(OFFSET($E30,1,0):OFFSET($E34,-1,0)=AX$4)*OFFSET($W30,1,0):OFFSET(AW34,-1,0))</f>
        <v>0</v>
      </c>
      <c r="AY52" s="68">
        <f ca="1">SUMPRODUCT(OFFSET($C30,1,0):OFFSET($C34,-1,0)*OFFSET(AY30,1,0):OFFSET(AY34,-1,0))-SUMPRODUCT(OFFSET($C30,1,0):OFFSET($C34,-1,0)*--(OFFSET($E30,1,0):OFFSET($E34,-1,0)=AY$4)*OFFSET($W30,1,0):OFFSET(AX34,-1,0))</f>
        <v>0</v>
      </c>
      <c r="AZ52" s="68">
        <f ca="1">SUMPRODUCT(OFFSET($C30,1,0):OFFSET($C34,-1,0)*OFFSET(AZ30,1,0):OFFSET(AZ34,-1,0))-SUMPRODUCT(OFFSET($C30,1,0):OFFSET($C34,-1,0)*--(OFFSET($E30,1,0):OFFSET($E34,-1,0)=AZ$4)*OFFSET($W30,1,0):OFFSET(AY34,-1,0))</f>
        <v>0</v>
      </c>
      <c r="BA52" s="68">
        <f ca="1">SUMPRODUCT(OFFSET($C30,1,0):OFFSET($C34,-1,0)*OFFSET(BA30,1,0):OFFSET(BA34,-1,0))-SUMPRODUCT(OFFSET($C30,1,0):OFFSET($C34,-1,0)*--(OFFSET($E30,1,0):OFFSET($E34,-1,0)=BA$4)*OFFSET($W30,1,0):OFFSET(AZ34,-1,0))</f>
        <v>0</v>
      </c>
      <c r="BB52" s="68">
        <f ca="1">SUMPRODUCT(OFFSET($C30,1,0):OFFSET($C34,-1,0)*OFFSET(BB30,1,0):OFFSET(BB34,-1,0))-SUMPRODUCT(OFFSET($C30,1,0):OFFSET($C34,-1,0)*--(OFFSET($E30,1,0):OFFSET($E34,-1,0)=BB$4)*OFFSET($W30,1,0):OFFSET(BA34,-1,0))</f>
        <v>0</v>
      </c>
      <c r="BC52" s="68">
        <f ca="1">SUMPRODUCT(OFFSET($C30,1,0):OFFSET($C34,-1,0)*OFFSET(BC30,1,0):OFFSET(BC34,-1,0))-SUMPRODUCT(OFFSET($C30,1,0):OFFSET($C34,-1,0)*--(OFFSET($E30,1,0):OFFSET($E34,-1,0)=BC$4)*OFFSET($W30,1,0):OFFSET(BB34,-1,0))</f>
        <v>0</v>
      </c>
      <c r="BD52" s="68">
        <f ca="1">SUMPRODUCT(OFFSET($C30,1,0):OFFSET($C34,-1,0)*OFFSET(BD30,1,0):OFFSET(BD34,-1,0))-SUMPRODUCT(OFFSET($C30,1,0):OFFSET($C34,-1,0)*--(OFFSET($E30,1,0):OFFSET($E34,-1,0)=BD$4)*OFFSET($W30,1,0):OFFSET(BC34,-1,0))</f>
        <v>0</v>
      </c>
      <c r="BE52" s="68">
        <f ca="1">SUMPRODUCT(OFFSET($C30,1,0):OFFSET($C34,-1,0)*OFFSET(BE30,1,0):OFFSET(BE34,-1,0))-SUMPRODUCT(OFFSET($C30,1,0):OFFSET($C34,-1,0)*--(OFFSET($E30,1,0):OFFSET($E34,-1,0)=BE$4)*OFFSET($W30,1,0):OFFSET(BD34,-1,0))</f>
        <v>0</v>
      </c>
      <c r="BF52" s="68">
        <f ca="1">SUMPRODUCT(OFFSET($C30,1,0):OFFSET($C34,-1,0)*OFFSET(BF30,1,0):OFFSET(BF34,-1,0))-SUMPRODUCT(OFFSET($C30,1,0):OFFSET($C34,-1,0)*--(OFFSET($E30,1,0):OFFSET($E34,-1,0)=BF$4)*OFFSET($W30,1,0):OFFSET(BE34,-1,0))</f>
        <v>0</v>
      </c>
      <c r="BG52" s="68">
        <f ca="1">SUMPRODUCT(OFFSET($C30,1,0):OFFSET($C34,-1,0)*OFFSET(BG30,1,0):OFFSET(BG34,-1,0))-SUMPRODUCT(OFFSET($C30,1,0):OFFSET($C34,-1,0)*--(OFFSET($E30,1,0):OFFSET($E34,-1,0)=BG$4)*OFFSET($W30,1,0):OFFSET(BF34,-1,0))</f>
        <v>0</v>
      </c>
      <c r="BH52" s="68">
        <f ca="1">SUMPRODUCT(OFFSET($C30,1,0):OFFSET($C34,-1,0)*OFFSET(BH30,1,0):OFFSET(BH34,-1,0))-SUMPRODUCT(OFFSET($C30,1,0):OFFSET($C34,-1,0)*--(OFFSET($E30,1,0):OFFSET($E34,-1,0)=BH$4)*OFFSET($W30,1,0):OFFSET(BG34,-1,0))</f>
        <v>0</v>
      </c>
      <c r="BI52" s="68">
        <f ca="1">SUMPRODUCT(OFFSET($C30,1,0):OFFSET($C34,-1,0)*OFFSET(BI30,1,0):OFFSET(BI34,-1,0))-SUMPRODUCT(OFFSET($C30,1,0):OFFSET($C34,-1,0)*--(OFFSET($E30,1,0):OFFSET($E34,-1,0)=BI$4)*OFFSET($W30,1,0):OFFSET(BH34,-1,0))</f>
        <v>0</v>
      </c>
      <c r="BJ52" s="68">
        <f ca="1">SUMPRODUCT(OFFSET($C30,1,0):OFFSET($C34,-1,0)*OFFSET(BJ30,1,0):OFFSET(BJ34,-1,0))-SUMPRODUCT(OFFSET($C30,1,0):OFFSET($C34,-1,0)*--(OFFSET($E30,1,0):OFFSET($E34,-1,0)=BJ$4)*OFFSET($W30,1,0):OFFSET(BI34,-1,0))</f>
        <v>0</v>
      </c>
      <c r="BK52" s="68">
        <f ca="1">SUMPRODUCT(OFFSET($C30,1,0):OFFSET($C34,-1,0)*OFFSET(BK30,1,0):OFFSET(BK34,-1,0))-SUMPRODUCT(OFFSET($C30,1,0):OFFSET($C34,-1,0)*--(OFFSET($E30,1,0):OFFSET($E34,-1,0)=BK$4)*OFFSET($W30,1,0):OFFSET(BJ34,-1,0))</f>
        <v>0</v>
      </c>
      <c r="BL52" s="68">
        <f ca="1">SUMPRODUCT(OFFSET($C30,1,0):OFFSET($C34,-1,0)*OFFSET(BL30,1,0):OFFSET(BL34,-1,0))-SUMPRODUCT(OFFSET($C30,1,0):OFFSET($C34,-1,0)*--(OFFSET($E30,1,0):OFFSET($E34,-1,0)=BL$4)*OFFSET($W30,1,0):OFFSET(BK34,-1,0))</f>
        <v>0</v>
      </c>
      <c r="BM52" s="68">
        <f ca="1">SUMPRODUCT(OFFSET($C30,1,0):OFFSET($C34,-1,0)*OFFSET(BM30,1,0):OFFSET(BM34,-1,0))-SUMPRODUCT(OFFSET($C30,1,0):OFFSET($C34,-1,0)*--(OFFSET($E30,1,0):OFFSET($E34,-1,0)=BM$4)*OFFSET($W30,1,0):OFFSET(BL34,-1,0))</f>
        <v>0</v>
      </c>
      <c r="BN52" s="68">
        <f ca="1">SUMPRODUCT(OFFSET($C30,1,0):OFFSET($C34,-1,0)*OFFSET(BN30,1,0):OFFSET(BN34,-1,0))-SUMPRODUCT(OFFSET($C30,1,0):OFFSET($C34,-1,0)*--(OFFSET($E30,1,0):OFFSET($E34,-1,0)=BN$4)*OFFSET($W30,1,0):OFFSET(BM34,-1,0))</f>
        <v>0</v>
      </c>
      <c r="BO52" s="68">
        <f ca="1">SUMPRODUCT(OFFSET($C30,1,0):OFFSET($C34,-1,0)*OFFSET(BO30,1,0):OFFSET(BO34,-1,0))-SUMPRODUCT(OFFSET($C30,1,0):OFFSET($C34,-1,0)*--(OFFSET($E30,1,0):OFFSET($E34,-1,0)=BO$4)*OFFSET($W30,1,0):OFFSET(BN34,-1,0))</f>
        <v>0</v>
      </c>
      <c r="BP52" s="68">
        <f ca="1">SUMPRODUCT(OFFSET($C30,1,0):OFFSET($C34,-1,0)*OFFSET(BP30,1,0):OFFSET(BP34,-1,0))-SUMPRODUCT(OFFSET($C30,1,0):OFFSET($C34,-1,0)*--(OFFSET($E30,1,0):OFFSET($E34,-1,0)=BP$4)*OFFSET($W30,1,0):OFFSET(BO34,-1,0))</f>
        <v>0</v>
      </c>
      <c r="BQ52" s="68">
        <f ca="1">SUMPRODUCT(OFFSET($C30,1,0):OFFSET($C34,-1,0)*OFFSET(BQ30,1,0):OFFSET(BQ34,-1,0))-SUMPRODUCT(OFFSET($C30,1,0):OFFSET($C34,-1,0)*--(OFFSET($E30,1,0):OFFSET($E34,-1,0)=BQ$4)*OFFSET($W30,1,0):OFFSET(BP34,-1,0))</f>
        <v>0</v>
      </c>
      <c r="BR52" s="68">
        <f ca="1">SUMPRODUCT(OFFSET($C30,1,0):OFFSET($C34,-1,0)*OFFSET(BR30,1,0):OFFSET(BR34,-1,0))-SUMPRODUCT(OFFSET($C30,1,0):OFFSET($C34,-1,0)*--(OFFSET($E30,1,0):OFFSET($E34,-1,0)=BR$4)*OFFSET($W30,1,0):OFFSET(BQ34,-1,0))</f>
        <v>0</v>
      </c>
      <c r="BS52" s="68">
        <f ca="1">SUMPRODUCT(OFFSET($C30,1,0):OFFSET($C34,-1,0)*OFFSET(BS30,1,0):OFFSET(BS34,-1,0))-SUMPRODUCT(OFFSET($C30,1,0):OFFSET($C34,-1,0)*--(OFFSET($E30,1,0):OFFSET($E34,-1,0)=BS$4)*OFFSET($W30,1,0):OFFSET(BR34,-1,0))</f>
        <v>0</v>
      </c>
    </row>
    <row r="53" spans="1:71" x14ac:dyDescent="0.2">
      <c r="A53" s="36" t="s">
        <v>41</v>
      </c>
      <c r="B53" s="37" t="s">
        <v>100</v>
      </c>
      <c r="G53" s="37" t="str">
        <f>$G$36</f>
        <v>SG&amp;A and Other Overhead</v>
      </c>
      <c r="V53" s="54">
        <f t="shared" ca="1" si="9"/>
        <v>142500</v>
      </c>
      <c r="W53" s="35"/>
      <c r="X53" s="55">
        <f ca="1">SUMPRODUCT(OFFSET($C36,1,0):OFFSET($C38,-1,0)*OFFSET(X36,1,0):OFFSET(X38,-1,0))-SUMPRODUCT(OFFSET($C36,1,0):OFFSET($C38,-1,0)*--(OFFSET($E36,1,0):OFFSET($E38,-1,0)=X$4)*OFFSET($W36,1,0):OFFSET(W38,-1,0))</f>
        <v>0</v>
      </c>
      <c r="Y53" s="55">
        <f ca="1">SUMPRODUCT(OFFSET($C36,1,0):OFFSET($C38,-1,0)*OFFSET(Y36,1,0):OFFSET(Y38,-1,0))-SUMPRODUCT(OFFSET($C36,1,0):OFFSET($C38,-1,0)*--(OFFSET($E36,1,0):OFFSET($E38,-1,0)=Y$4)*OFFSET($W36,1,0):OFFSET(X38,-1,0))</f>
        <v>5700</v>
      </c>
      <c r="Z53" s="55">
        <f ca="1">SUMPRODUCT(OFFSET($C36,1,0):OFFSET($C38,-1,0)*OFFSET(Z36,1,0):OFFSET(Z38,-1,0))-SUMPRODUCT(OFFSET($C36,1,0):OFFSET($C38,-1,0)*--(OFFSET($E36,1,0):OFFSET($E38,-1,0)=Z$4)*OFFSET($W36,1,0):OFFSET(Y38,-1,0))</f>
        <v>5700</v>
      </c>
      <c r="AA53" s="55">
        <f ca="1">SUMPRODUCT(OFFSET($C36,1,0):OFFSET($C38,-1,0)*OFFSET(AA36,1,0):OFFSET(AA38,-1,0))-SUMPRODUCT(OFFSET($C36,1,0):OFFSET($C38,-1,0)*--(OFFSET($E36,1,0):OFFSET($E38,-1,0)=AA$4)*OFFSET($W36,1,0):OFFSET(Z38,-1,0))</f>
        <v>5700</v>
      </c>
      <c r="AB53" s="55">
        <f ca="1">SUMPRODUCT(OFFSET($C36,1,0):OFFSET($C38,-1,0)*OFFSET(AB36,1,0):OFFSET(AB38,-1,0))-SUMPRODUCT(OFFSET($C36,1,0):OFFSET($C38,-1,0)*--(OFFSET($E36,1,0):OFFSET($E38,-1,0)=AB$4)*OFFSET($W36,1,0):OFFSET(AA38,-1,0))</f>
        <v>5700</v>
      </c>
      <c r="AC53" s="55">
        <f ca="1">SUMPRODUCT(OFFSET($C36,1,0):OFFSET($C38,-1,0)*OFFSET(AC36,1,0):OFFSET(AC38,-1,0))-SUMPRODUCT(OFFSET($C36,1,0):OFFSET($C38,-1,0)*--(OFFSET($E36,1,0):OFFSET($E38,-1,0)=AC$4)*OFFSET($W36,1,0):OFFSET(AB38,-1,0))</f>
        <v>5700</v>
      </c>
      <c r="AD53" s="55">
        <f ca="1">SUMPRODUCT(OFFSET($C36,1,0):OFFSET($C38,-1,0)*OFFSET(AD36,1,0):OFFSET(AD38,-1,0))-SUMPRODUCT(OFFSET($C36,1,0):OFFSET($C38,-1,0)*--(OFFSET($E36,1,0):OFFSET($E38,-1,0)=AD$4)*OFFSET($W36,1,0):OFFSET(AC38,-1,0))</f>
        <v>5700</v>
      </c>
      <c r="AE53" s="55">
        <f ca="1">SUMPRODUCT(OFFSET($C36,1,0):OFFSET($C38,-1,0)*OFFSET(AE36,1,0):OFFSET(AE38,-1,0))-SUMPRODUCT(OFFSET($C36,1,0):OFFSET($C38,-1,0)*--(OFFSET($E36,1,0):OFFSET($E38,-1,0)=AE$4)*OFFSET($W36,1,0):OFFSET(AD38,-1,0))</f>
        <v>5700</v>
      </c>
      <c r="AF53" s="55">
        <f ca="1">SUMPRODUCT(OFFSET($C36,1,0):OFFSET($C38,-1,0)*OFFSET(AF36,1,0):OFFSET(AF38,-1,0))-SUMPRODUCT(OFFSET($C36,1,0):OFFSET($C38,-1,0)*--(OFFSET($E36,1,0):OFFSET($E38,-1,0)=AF$4)*OFFSET($W36,1,0):OFFSET(AE38,-1,0))</f>
        <v>5700</v>
      </c>
      <c r="AG53" s="55">
        <f ca="1">SUMPRODUCT(OFFSET($C36,1,0):OFFSET($C38,-1,0)*OFFSET(AG36,1,0):OFFSET(AG38,-1,0))-SUMPRODUCT(OFFSET($C36,1,0):OFFSET($C38,-1,0)*--(OFFSET($E36,1,0):OFFSET($E38,-1,0)=AG$4)*OFFSET($W36,1,0):OFFSET(AF38,-1,0))</f>
        <v>5700</v>
      </c>
      <c r="AH53" s="55">
        <f ca="1">SUMPRODUCT(OFFSET($C36,1,0):OFFSET($C38,-1,0)*OFFSET(AH36,1,0):OFFSET(AH38,-1,0))-SUMPRODUCT(OFFSET($C36,1,0):OFFSET($C38,-1,0)*--(OFFSET($E36,1,0):OFFSET($E38,-1,0)=AH$4)*OFFSET($W36,1,0):OFFSET(AG38,-1,0))</f>
        <v>5700</v>
      </c>
      <c r="AI53" s="55">
        <f ca="1">SUMPRODUCT(OFFSET($C36,1,0):OFFSET($C38,-1,0)*OFFSET(AI36,1,0):OFFSET(AI38,-1,0))-SUMPRODUCT(OFFSET($C36,1,0):OFFSET($C38,-1,0)*--(OFFSET($E36,1,0):OFFSET($E38,-1,0)=AI$4)*OFFSET($W36,1,0):OFFSET(AH38,-1,0))</f>
        <v>5700</v>
      </c>
      <c r="AJ53" s="55">
        <f ca="1">SUMPRODUCT(OFFSET($C36,1,0):OFFSET($C38,-1,0)*OFFSET(AJ36,1,0):OFFSET(AJ38,-1,0))-SUMPRODUCT(OFFSET($C36,1,0):OFFSET($C38,-1,0)*--(OFFSET($E36,1,0):OFFSET($E38,-1,0)=AJ$4)*OFFSET($W36,1,0):OFFSET(AI38,-1,0))</f>
        <v>5700</v>
      </c>
      <c r="AK53" s="55">
        <f ca="1">SUMPRODUCT(OFFSET($C36,1,0):OFFSET($C38,-1,0)*OFFSET(AK36,1,0):OFFSET(AK38,-1,0))-SUMPRODUCT(OFFSET($C36,1,0):OFFSET($C38,-1,0)*--(OFFSET($E36,1,0):OFFSET($E38,-1,0)=AK$4)*OFFSET($W36,1,0):OFFSET(AJ38,-1,0))</f>
        <v>5700</v>
      </c>
      <c r="AL53" s="55">
        <f ca="1">SUMPRODUCT(OFFSET($C36,1,0):OFFSET($C38,-1,0)*OFFSET(AL36,1,0):OFFSET(AL38,-1,0))-SUMPRODUCT(OFFSET($C36,1,0):OFFSET($C38,-1,0)*--(OFFSET($E36,1,0):OFFSET($E38,-1,0)=AL$4)*OFFSET($W36,1,0):OFFSET(AK38,-1,0))</f>
        <v>5700</v>
      </c>
      <c r="AM53" s="55">
        <f ca="1">SUMPRODUCT(OFFSET($C36,1,0):OFFSET($C38,-1,0)*OFFSET(AM36,1,0):OFFSET(AM38,-1,0))-SUMPRODUCT(OFFSET($C36,1,0):OFFSET($C38,-1,0)*--(OFFSET($E36,1,0):OFFSET($E38,-1,0)=AM$4)*OFFSET($W36,1,0):OFFSET(AL38,-1,0))</f>
        <v>5700</v>
      </c>
      <c r="AN53" s="55">
        <f ca="1">SUMPRODUCT(OFFSET($C36,1,0):OFFSET($C38,-1,0)*OFFSET(AN36,1,0):OFFSET(AN38,-1,0))-SUMPRODUCT(OFFSET($C36,1,0):OFFSET($C38,-1,0)*--(OFFSET($E36,1,0):OFFSET($E38,-1,0)=AN$4)*OFFSET($W36,1,0):OFFSET(AM38,-1,0))</f>
        <v>5700</v>
      </c>
      <c r="AO53" s="55">
        <f ca="1">SUMPRODUCT(OFFSET($C36,1,0):OFFSET($C38,-1,0)*OFFSET(AO36,1,0):OFFSET(AO38,-1,0))-SUMPRODUCT(OFFSET($C36,1,0):OFFSET($C38,-1,0)*--(OFFSET($E36,1,0):OFFSET($E38,-1,0)=AO$4)*OFFSET($W36,1,0):OFFSET(AN38,-1,0))</f>
        <v>5700</v>
      </c>
      <c r="AP53" s="55">
        <f ca="1">SUMPRODUCT(OFFSET($C36,1,0):OFFSET($C38,-1,0)*OFFSET(AP36,1,0):OFFSET(AP38,-1,0))-SUMPRODUCT(OFFSET($C36,1,0):OFFSET($C38,-1,0)*--(OFFSET($E36,1,0):OFFSET($E38,-1,0)=AP$4)*OFFSET($W36,1,0):OFFSET(AO38,-1,0))</f>
        <v>5700</v>
      </c>
      <c r="AQ53" s="55">
        <f ca="1">SUMPRODUCT(OFFSET($C36,1,0):OFFSET($C38,-1,0)*OFFSET(AQ36,1,0):OFFSET(AQ38,-1,0))-SUMPRODUCT(OFFSET($C36,1,0):OFFSET($C38,-1,0)*--(OFFSET($E36,1,0):OFFSET($E38,-1,0)=AQ$4)*OFFSET($W36,1,0):OFFSET(AP38,-1,0))</f>
        <v>5700</v>
      </c>
      <c r="AR53" s="55">
        <f ca="1">SUMPRODUCT(OFFSET($C36,1,0):OFFSET($C38,-1,0)*OFFSET(AR36,1,0):OFFSET(AR38,-1,0))-SUMPRODUCT(OFFSET($C36,1,0):OFFSET($C38,-1,0)*--(OFFSET($E36,1,0):OFFSET($E38,-1,0)=AR$4)*OFFSET($W36,1,0):OFFSET(AQ38,-1,0))</f>
        <v>5700</v>
      </c>
      <c r="AS53" s="55">
        <f ca="1">SUMPRODUCT(OFFSET($C36,1,0):OFFSET($C38,-1,0)*OFFSET(AS36,1,0):OFFSET(AS38,-1,0))-SUMPRODUCT(OFFSET($C36,1,0):OFFSET($C38,-1,0)*--(OFFSET($E36,1,0):OFFSET($E38,-1,0)=AS$4)*OFFSET($W36,1,0):OFFSET(AR38,-1,0))</f>
        <v>5700</v>
      </c>
      <c r="AT53" s="55">
        <f ca="1">SUMPRODUCT(OFFSET($C36,1,0):OFFSET($C38,-1,0)*OFFSET(AT36,1,0):OFFSET(AT38,-1,0))-SUMPRODUCT(OFFSET($C36,1,0):OFFSET($C38,-1,0)*--(OFFSET($E36,1,0):OFFSET($E38,-1,0)=AT$4)*OFFSET($W36,1,0):OFFSET(AS38,-1,0))</f>
        <v>5700</v>
      </c>
      <c r="AU53" s="55">
        <f ca="1">SUMPRODUCT(OFFSET($C36,1,0):OFFSET($C38,-1,0)*OFFSET(AU36,1,0):OFFSET(AU38,-1,0))-SUMPRODUCT(OFFSET($C36,1,0):OFFSET($C38,-1,0)*--(OFFSET($E36,1,0):OFFSET($E38,-1,0)=AU$4)*OFFSET($W36,1,0):OFFSET(AT38,-1,0))</f>
        <v>5700</v>
      </c>
      <c r="AV53" s="55">
        <f ca="1">SUMPRODUCT(OFFSET($C36,1,0):OFFSET($C38,-1,0)*OFFSET(AV36,1,0):OFFSET(AV38,-1,0))-SUMPRODUCT(OFFSET($C36,1,0):OFFSET($C38,-1,0)*--(OFFSET($E36,1,0):OFFSET($E38,-1,0)=AV$4)*OFFSET($W36,1,0):OFFSET(AU38,-1,0))</f>
        <v>5700</v>
      </c>
      <c r="AW53" s="55">
        <f ca="1">SUMPRODUCT(OFFSET($C36,1,0):OFFSET($C38,-1,0)*OFFSET(AW36,1,0):OFFSET(AW38,-1,0))-SUMPRODUCT(OFFSET($C36,1,0):OFFSET($C38,-1,0)*--(OFFSET($E36,1,0):OFFSET($E38,-1,0)=AW$4)*OFFSET($W36,1,0):OFFSET(AV38,-1,0))</f>
        <v>5700</v>
      </c>
      <c r="AX53" s="55">
        <f ca="1">SUMPRODUCT(OFFSET($C36,1,0):OFFSET($C38,-1,0)*OFFSET(AX36,1,0):OFFSET(AX38,-1,0))-SUMPRODUCT(OFFSET($C36,1,0):OFFSET($C38,-1,0)*--(OFFSET($E36,1,0):OFFSET($E38,-1,0)=AX$4)*OFFSET($W36,1,0):OFFSET(AW38,-1,0))</f>
        <v>0</v>
      </c>
      <c r="AY53" s="55">
        <f ca="1">SUMPRODUCT(OFFSET($C36,1,0):OFFSET($C38,-1,0)*OFFSET(AY36,1,0):OFFSET(AY38,-1,0))-SUMPRODUCT(OFFSET($C36,1,0):OFFSET($C38,-1,0)*--(OFFSET($E36,1,0):OFFSET($E38,-1,0)=AY$4)*OFFSET($W36,1,0):OFFSET(AX38,-1,0))</f>
        <v>0</v>
      </c>
      <c r="AZ53" s="55">
        <f ca="1">SUMPRODUCT(OFFSET($C36,1,0):OFFSET($C38,-1,0)*OFFSET(AZ36,1,0):OFFSET(AZ38,-1,0))-SUMPRODUCT(OFFSET($C36,1,0):OFFSET($C38,-1,0)*--(OFFSET($E36,1,0):OFFSET($E38,-1,0)=AZ$4)*OFFSET($W36,1,0):OFFSET(AY38,-1,0))</f>
        <v>0</v>
      </c>
      <c r="BA53" s="55">
        <f ca="1">SUMPRODUCT(OFFSET($C36,1,0):OFFSET($C38,-1,0)*OFFSET(BA36,1,0):OFFSET(BA38,-1,0))-SUMPRODUCT(OFFSET($C36,1,0):OFFSET($C38,-1,0)*--(OFFSET($E36,1,0):OFFSET($E38,-1,0)=BA$4)*OFFSET($W36,1,0):OFFSET(AZ38,-1,0))</f>
        <v>0</v>
      </c>
      <c r="BB53" s="55">
        <f ca="1">SUMPRODUCT(OFFSET($C36,1,0):OFFSET($C38,-1,0)*OFFSET(BB36,1,0):OFFSET(BB38,-1,0))-SUMPRODUCT(OFFSET($C36,1,0):OFFSET($C38,-1,0)*--(OFFSET($E36,1,0):OFFSET($E38,-1,0)=BB$4)*OFFSET($W36,1,0):OFFSET(BA38,-1,0))</f>
        <v>0</v>
      </c>
      <c r="BC53" s="55">
        <f ca="1">SUMPRODUCT(OFFSET($C36,1,0):OFFSET($C38,-1,0)*OFFSET(BC36,1,0):OFFSET(BC38,-1,0))-SUMPRODUCT(OFFSET($C36,1,0):OFFSET($C38,-1,0)*--(OFFSET($E36,1,0):OFFSET($E38,-1,0)=BC$4)*OFFSET($W36,1,0):OFFSET(BB38,-1,0))</f>
        <v>0</v>
      </c>
      <c r="BD53" s="55">
        <f ca="1">SUMPRODUCT(OFFSET($C36,1,0):OFFSET($C38,-1,0)*OFFSET(BD36,1,0):OFFSET(BD38,-1,0))-SUMPRODUCT(OFFSET($C36,1,0):OFFSET($C38,-1,0)*--(OFFSET($E36,1,0):OFFSET($E38,-1,0)=BD$4)*OFFSET($W36,1,0):OFFSET(BC38,-1,0))</f>
        <v>0</v>
      </c>
      <c r="BE53" s="55">
        <f ca="1">SUMPRODUCT(OFFSET($C36,1,0):OFFSET($C38,-1,0)*OFFSET(BE36,1,0):OFFSET(BE38,-1,0))-SUMPRODUCT(OFFSET($C36,1,0):OFFSET($C38,-1,0)*--(OFFSET($E36,1,0):OFFSET($E38,-1,0)=BE$4)*OFFSET($W36,1,0):OFFSET(BD38,-1,0))</f>
        <v>0</v>
      </c>
      <c r="BF53" s="55">
        <f ca="1">SUMPRODUCT(OFFSET($C36,1,0):OFFSET($C38,-1,0)*OFFSET(BF36,1,0):OFFSET(BF38,-1,0))-SUMPRODUCT(OFFSET($C36,1,0):OFFSET($C38,-1,0)*--(OFFSET($E36,1,0):OFFSET($E38,-1,0)=BF$4)*OFFSET($W36,1,0):OFFSET(BE38,-1,0))</f>
        <v>0</v>
      </c>
      <c r="BG53" s="55">
        <f ca="1">SUMPRODUCT(OFFSET($C36,1,0):OFFSET($C38,-1,0)*OFFSET(BG36,1,0):OFFSET(BG38,-1,0))-SUMPRODUCT(OFFSET($C36,1,0):OFFSET($C38,-1,0)*--(OFFSET($E36,1,0):OFFSET($E38,-1,0)=BG$4)*OFFSET($W36,1,0):OFFSET(BF38,-1,0))</f>
        <v>0</v>
      </c>
      <c r="BH53" s="55">
        <f ca="1">SUMPRODUCT(OFFSET($C36,1,0):OFFSET($C38,-1,0)*OFFSET(BH36,1,0):OFFSET(BH38,-1,0))-SUMPRODUCT(OFFSET($C36,1,0):OFFSET($C38,-1,0)*--(OFFSET($E36,1,0):OFFSET($E38,-1,0)=BH$4)*OFFSET($W36,1,0):OFFSET(BG38,-1,0))</f>
        <v>0</v>
      </c>
      <c r="BI53" s="55">
        <f ca="1">SUMPRODUCT(OFFSET($C36,1,0):OFFSET($C38,-1,0)*OFFSET(BI36,1,0):OFFSET(BI38,-1,0))-SUMPRODUCT(OFFSET($C36,1,0):OFFSET($C38,-1,0)*--(OFFSET($E36,1,0):OFFSET($E38,-1,0)=BI$4)*OFFSET($W36,1,0):OFFSET(BH38,-1,0))</f>
        <v>0</v>
      </c>
      <c r="BJ53" s="55">
        <f ca="1">SUMPRODUCT(OFFSET($C36,1,0):OFFSET($C38,-1,0)*OFFSET(BJ36,1,0):OFFSET(BJ38,-1,0))-SUMPRODUCT(OFFSET($C36,1,0):OFFSET($C38,-1,0)*--(OFFSET($E36,1,0):OFFSET($E38,-1,0)=BJ$4)*OFFSET($W36,1,0):OFFSET(BI38,-1,0))</f>
        <v>0</v>
      </c>
      <c r="BK53" s="55">
        <f ca="1">SUMPRODUCT(OFFSET($C36,1,0):OFFSET($C38,-1,0)*OFFSET(BK36,1,0):OFFSET(BK38,-1,0))-SUMPRODUCT(OFFSET($C36,1,0):OFFSET($C38,-1,0)*--(OFFSET($E36,1,0):OFFSET($E38,-1,0)=BK$4)*OFFSET($W36,1,0):OFFSET(BJ38,-1,0))</f>
        <v>0</v>
      </c>
      <c r="BL53" s="55">
        <f ca="1">SUMPRODUCT(OFFSET($C36,1,0):OFFSET($C38,-1,0)*OFFSET(BL36,1,0):OFFSET(BL38,-1,0))-SUMPRODUCT(OFFSET($C36,1,0):OFFSET($C38,-1,0)*--(OFFSET($E36,1,0):OFFSET($E38,-1,0)=BL$4)*OFFSET($W36,1,0):OFFSET(BK38,-1,0))</f>
        <v>0</v>
      </c>
      <c r="BM53" s="55">
        <f ca="1">SUMPRODUCT(OFFSET($C36,1,0):OFFSET($C38,-1,0)*OFFSET(BM36,1,0):OFFSET(BM38,-1,0))-SUMPRODUCT(OFFSET($C36,1,0):OFFSET($C38,-1,0)*--(OFFSET($E36,1,0):OFFSET($E38,-1,0)=BM$4)*OFFSET($W36,1,0):OFFSET(BL38,-1,0))</f>
        <v>0</v>
      </c>
      <c r="BN53" s="55">
        <f ca="1">SUMPRODUCT(OFFSET($C36,1,0):OFFSET($C38,-1,0)*OFFSET(BN36,1,0):OFFSET(BN38,-1,0))-SUMPRODUCT(OFFSET($C36,1,0):OFFSET($C38,-1,0)*--(OFFSET($E36,1,0):OFFSET($E38,-1,0)=BN$4)*OFFSET($W36,1,0):OFFSET(BM38,-1,0))</f>
        <v>0</v>
      </c>
      <c r="BO53" s="55">
        <f ca="1">SUMPRODUCT(OFFSET($C36,1,0):OFFSET($C38,-1,0)*OFFSET(BO36,1,0):OFFSET(BO38,-1,0))-SUMPRODUCT(OFFSET($C36,1,0):OFFSET($C38,-1,0)*--(OFFSET($E36,1,0):OFFSET($E38,-1,0)=BO$4)*OFFSET($W36,1,0):OFFSET(BN38,-1,0))</f>
        <v>0</v>
      </c>
      <c r="BP53" s="55">
        <f ca="1">SUMPRODUCT(OFFSET($C36,1,0):OFFSET($C38,-1,0)*OFFSET(BP36,1,0):OFFSET(BP38,-1,0))-SUMPRODUCT(OFFSET($C36,1,0):OFFSET($C38,-1,0)*--(OFFSET($E36,1,0):OFFSET($E38,-1,0)=BP$4)*OFFSET($W36,1,0):OFFSET(BO38,-1,0))</f>
        <v>0</v>
      </c>
      <c r="BQ53" s="55">
        <f ca="1">SUMPRODUCT(OFFSET($C36,1,0):OFFSET($C38,-1,0)*OFFSET(BQ36,1,0):OFFSET(BQ38,-1,0))-SUMPRODUCT(OFFSET($C36,1,0):OFFSET($C38,-1,0)*--(OFFSET($E36,1,0):OFFSET($E38,-1,0)=BQ$4)*OFFSET($W36,1,0):OFFSET(BP38,-1,0))</f>
        <v>0</v>
      </c>
      <c r="BR53" s="55">
        <f ca="1">SUMPRODUCT(OFFSET($C36,1,0):OFFSET($C38,-1,0)*OFFSET(BR36,1,0):OFFSET(BR38,-1,0))-SUMPRODUCT(OFFSET($C36,1,0):OFFSET($C38,-1,0)*--(OFFSET($E36,1,0):OFFSET($E38,-1,0)=BR$4)*OFFSET($W36,1,0):OFFSET(BQ38,-1,0))</f>
        <v>0</v>
      </c>
      <c r="BS53" s="55">
        <f ca="1">SUMPRODUCT(OFFSET($C36,1,0):OFFSET($C38,-1,0)*OFFSET(BS36,1,0):OFFSET(BS38,-1,0))-SUMPRODUCT(OFFSET($C36,1,0):OFFSET($C38,-1,0)*--(OFFSET($E36,1,0):OFFSET($E38,-1,0)=BS$4)*OFFSET($W36,1,0):OFFSET(BR38,-1,0))</f>
        <v>0</v>
      </c>
    </row>
    <row r="54" spans="1:71" s="57" customFormat="1" x14ac:dyDescent="0.2">
      <c r="A54" s="56" t="s">
        <v>41</v>
      </c>
      <c r="B54" s="57" t="s">
        <v>101</v>
      </c>
      <c r="G54" s="57" t="str">
        <f>"Total "&amp;G48</f>
        <v>Total Input VAT</v>
      </c>
      <c r="I54" s="58"/>
      <c r="V54" s="59">
        <f t="shared" ca="1" si="9"/>
        <v>1235000.0000000002</v>
      </c>
      <c r="X54" s="60">
        <f ca="1">SUBTOTAL(9,OFFSET(X48,1,0):OFFSET(X54,-1,0))</f>
        <v>0</v>
      </c>
      <c r="Y54" s="60">
        <f ca="1">SUBTOTAL(9,OFFSET(Y48,1,0):OFFSET(Y54,-1,0))</f>
        <v>5700</v>
      </c>
      <c r="Z54" s="60">
        <f ca="1">SUBTOTAL(9,OFFSET(Z48,1,0):OFFSET(Z54,-1,0))</f>
        <v>5700</v>
      </c>
      <c r="AA54" s="60">
        <f ca="1">SUBTOTAL(9,OFFSET(AA48,1,0):OFFSET(AA54,-1,0))</f>
        <v>5700</v>
      </c>
      <c r="AB54" s="60">
        <f ca="1">SUBTOTAL(9,OFFSET(AB48,1,0):OFFSET(AB54,-1,0))</f>
        <v>38841.848528939299</v>
      </c>
      <c r="AC54" s="60">
        <f ca="1">SUBTOTAL(9,OFFSET(AC48,1,0):OFFSET(AC54,-1,0))</f>
        <v>46383.183645147205</v>
      </c>
      <c r="AD54" s="60">
        <f ca="1">SUBTOTAL(9,OFFSET(AD48,1,0):OFFSET(AD54,-1,0))</f>
        <v>54350.127806690842</v>
      </c>
      <c r="AE54" s="60">
        <f ca="1">SUBTOTAL(9,OFFSET(AE48,1,0):OFFSET(AE54,-1,0))</f>
        <v>62350.24502410784</v>
      </c>
      <c r="AF54" s="60">
        <f ca="1">SUBTOTAL(9,OFFSET(AF48,1,0):OFFSET(AF54,-1,0))</f>
        <v>69909.308332318091</v>
      </c>
      <c r="AG54" s="60">
        <f ca="1">SUBTOTAL(9,OFFSET(AG48,1,0):OFFSET(AG54,-1,0))</f>
        <v>76512.922464293253</v>
      </c>
      <c r="AH54" s="60">
        <f ca="1">SUBTOTAL(9,OFFSET(AH48,1,0):OFFSET(AH54,-1,0))</f>
        <v>81662.827108911893</v>
      </c>
      <c r="AI54" s="60">
        <f ca="1">SUBTOTAL(9,OFFSET(AI48,1,0):OFFSET(AI54,-1,0))</f>
        <v>84940.33780761878</v>
      </c>
      <c r="AJ54" s="60">
        <f ca="1">SUBTOTAL(9,OFFSET(AJ48,1,0):OFFSET(AJ54,-1,0))</f>
        <v>86065.65053499295</v>
      </c>
      <c r="AK54" s="60">
        <f ca="1">SUBTOTAL(9,OFFSET(AK48,1,0):OFFSET(AK54,-1,0))</f>
        <v>84940.337807618766</v>
      </c>
      <c r="AL54" s="60">
        <f ca="1">SUBTOTAL(9,OFFSET(AL48,1,0):OFFSET(AL54,-1,0))</f>
        <v>81662.827108911923</v>
      </c>
      <c r="AM54" s="60">
        <f ca="1">SUBTOTAL(9,OFFSET(AM48,1,0):OFFSET(AM54,-1,0))</f>
        <v>76512.922464293239</v>
      </c>
      <c r="AN54" s="60">
        <f ca="1">SUBTOTAL(9,OFFSET(AN48,1,0):OFFSET(AN54,-1,0))</f>
        <v>69909.308332318091</v>
      </c>
      <c r="AO54" s="60">
        <f ca="1">SUBTOTAL(9,OFFSET(AO48,1,0):OFFSET(AO54,-1,0))</f>
        <v>62350.24502410787</v>
      </c>
      <c r="AP54" s="60">
        <f ca="1">SUBTOTAL(9,OFFSET(AP48,1,0):OFFSET(AP54,-1,0))</f>
        <v>54350.127806690827</v>
      </c>
      <c r="AQ54" s="60">
        <f ca="1">SUBTOTAL(9,OFFSET(AQ48,1,0):OFFSET(AQ54,-1,0))</f>
        <v>46383.183645147205</v>
      </c>
      <c r="AR54" s="60">
        <f ca="1">SUBTOTAL(9,OFFSET(AR48,1,0):OFFSET(AR54,-1,0))</f>
        <v>38841.848528939307</v>
      </c>
      <c r="AS54" s="60">
        <f ca="1">SUBTOTAL(9,OFFSET(AS48,1,0):OFFSET(AS54,-1,0))</f>
        <v>32013.080006969187</v>
      </c>
      <c r="AT54" s="60">
        <f ca="1">SUBTOTAL(9,OFFSET(AT48,1,0):OFFSET(AT54,-1,0))</f>
        <v>26072.173486176111</v>
      </c>
      <c r="AU54" s="60">
        <f ca="1">SUBTOTAL(9,OFFSET(AU48,1,0):OFFSET(AU54,-1,0))</f>
        <v>21091.040799019051</v>
      </c>
      <c r="AV54" s="60">
        <f ca="1">SUBTOTAL(9,OFFSET(AV48,1,0):OFFSET(AV54,-1,0))</f>
        <v>17056.45373678836</v>
      </c>
      <c r="AW54" s="60">
        <f ca="1">SUBTOTAL(9,OFFSET(AW48,1,0):OFFSET(AW54,-1,0))</f>
        <v>5700</v>
      </c>
      <c r="AX54" s="60">
        <f ca="1">SUBTOTAL(9,OFFSET(AX48,1,0):OFFSET(AX54,-1,0))</f>
        <v>0</v>
      </c>
      <c r="AY54" s="60">
        <f ca="1">SUBTOTAL(9,OFFSET(AY48,1,0):OFFSET(AY54,-1,0))</f>
        <v>0</v>
      </c>
      <c r="AZ54" s="60">
        <f ca="1">SUBTOTAL(9,OFFSET(AZ48,1,0):OFFSET(AZ54,-1,0))</f>
        <v>0</v>
      </c>
      <c r="BA54" s="60">
        <f ca="1">SUBTOTAL(9,OFFSET(BA48,1,0):OFFSET(BA54,-1,0))</f>
        <v>0</v>
      </c>
      <c r="BB54" s="60">
        <f ca="1">SUBTOTAL(9,OFFSET(BB48,1,0):OFFSET(BB54,-1,0))</f>
        <v>0</v>
      </c>
      <c r="BC54" s="60">
        <f ca="1">SUBTOTAL(9,OFFSET(BC48,1,0):OFFSET(BC54,-1,0))</f>
        <v>0</v>
      </c>
      <c r="BD54" s="60">
        <f ca="1">SUBTOTAL(9,OFFSET(BD48,1,0):OFFSET(BD54,-1,0))</f>
        <v>0</v>
      </c>
      <c r="BE54" s="60">
        <f ca="1">SUBTOTAL(9,OFFSET(BE48,1,0):OFFSET(BE54,-1,0))</f>
        <v>0</v>
      </c>
      <c r="BF54" s="60">
        <f ca="1">SUBTOTAL(9,OFFSET(BF48,1,0):OFFSET(BF54,-1,0))</f>
        <v>0</v>
      </c>
      <c r="BG54" s="60">
        <f ca="1">SUBTOTAL(9,OFFSET(BG48,1,0):OFFSET(BG54,-1,0))</f>
        <v>0</v>
      </c>
      <c r="BH54" s="60">
        <f ca="1">SUBTOTAL(9,OFFSET(BH48,1,0):OFFSET(BH54,-1,0))</f>
        <v>0</v>
      </c>
      <c r="BI54" s="60">
        <f ca="1">SUBTOTAL(9,OFFSET(BI48,1,0):OFFSET(BI54,-1,0))</f>
        <v>0</v>
      </c>
      <c r="BJ54" s="60">
        <f ca="1">SUBTOTAL(9,OFFSET(BJ48,1,0):OFFSET(BJ54,-1,0))</f>
        <v>0</v>
      </c>
      <c r="BK54" s="60">
        <f ca="1">SUBTOTAL(9,OFFSET(BK48,1,0):OFFSET(BK54,-1,0))</f>
        <v>0</v>
      </c>
      <c r="BL54" s="60">
        <f ca="1">SUBTOTAL(9,OFFSET(BL48,1,0):OFFSET(BL54,-1,0))</f>
        <v>0</v>
      </c>
      <c r="BM54" s="60">
        <f ca="1">SUBTOTAL(9,OFFSET(BM48,1,0):OFFSET(BM54,-1,0))</f>
        <v>0</v>
      </c>
      <c r="BN54" s="60">
        <f ca="1">SUBTOTAL(9,OFFSET(BN48,1,0):OFFSET(BN54,-1,0))</f>
        <v>0</v>
      </c>
      <c r="BO54" s="60">
        <f ca="1">SUBTOTAL(9,OFFSET(BO48,1,0):OFFSET(BO54,-1,0))</f>
        <v>0</v>
      </c>
      <c r="BP54" s="60">
        <f ca="1">SUBTOTAL(9,OFFSET(BP48,1,0):OFFSET(BP54,-1,0))</f>
        <v>0</v>
      </c>
      <c r="BQ54" s="60">
        <f ca="1">SUBTOTAL(9,OFFSET(BQ48,1,0):OFFSET(BQ54,-1,0))</f>
        <v>0</v>
      </c>
      <c r="BR54" s="60">
        <f ca="1">SUBTOTAL(9,OFFSET(BR48,1,0):OFFSET(BR54,-1,0))</f>
        <v>0</v>
      </c>
      <c r="BS54" s="60">
        <f ca="1">SUBTOTAL(9,OFFSET(BS48,1,0):OFFSET(BS54,-1,0))</f>
        <v>0</v>
      </c>
    </row>
    <row r="55" spans="1:71" x14ac:dyDescent="0.2">
      <c r="V55" s="69"/>
    </row>
    <row r="56" spans="1:71" s="38" customFormat="1" x14ac:dyDescent="0.2">
      <c r="A56" s="43" t="s">
        <v>39</v>
      </c>
      <c r="G56" s="38" t="s">
        <v>102</v>
      </c>
      <c r="I56" s="76"/>
      <c r="V56" s="97"/>
    </row>
    <row r="57" spans="1:71" x14ac:dyDescent="0.2">
      <c r="A57" s="36" t="s">
        <v>41</v>
      </c>
      <c r="B57" s="37" t="s">
        <v>103</v>
      </c>
      <c r="G57" s="37" t="str">
        <f>G8</f>
        <v>Sales Revenue</v>
      </c>
      <c r="V57" s="54">
        <f ca="1">SUM(X57:BS57)</f>
        <v>2375000</v>
      </c>
      <c r="W57" s="35"/>
      <c r="X57" s="55">
        <f ca="1">SUMPRODUCT(OFFSET($C7,1,0):OFFSET($C10,-1,0)*OFFSET(X7,1,0):OFFSET(X10,-1,0))</f>
        <v>0</v>
      </c>
      <c r="Y57" s="55">
        <f ca="1">SUMPRODUCT(OFFSET($C7,1,0):OFFSET($C10,-1,0)*OFFSET(Y7,1,0):OFFSET(Y10,-1,0))</f>
        <v>0</v>
      </c>
      <c r="Z57" s="55">
        <f ca="1">SUMPRODUCT(OFFSET($C7,1,0):OFFSET($C10,-1,0)*OFFSET(Z7,1,0):OFFSET(Z10,-1,0))</f>
        <v>0</v>
      </c>
      <c r="AA57" s="55">
        <f ca="1">SUMPRODUCT(OFFSET($C7,1,0):OFFSET($C10,-1,0)*OFFSET(AA7,1,0):OFFSET(AA10,-1,0))</f>
        <v>0</v>
      </c>
      <c r="AB57" s="55">
        <f ca="1">SUMPRODUCT(OFFSET($C7,1,0):OFFSET($C10,-1,0)*OFFSET(AB7,1,0):OFFSET(AB10,-1,0))</f>
        <v>0</v>
      </c>
      <c r="AC57" s="55">
        <f ca="1">SUMPRODUCT(OFFSET($C7,1,0):OFFSET($C10,-1,0)*OFFSET(AC7,1,0):OFFSET(AC10,-1,0))</f>
        <v>0</v>
      </c>
      <c r="AD57" s="55">
        <f ca="1">SUMPRODUCT(OFFSET($C7,1,0):OFFSET($C10,-1,0)*OFFSET(AD7,1,0):OFFSET(AD10,-1,0))</f>
        <v>0</v>
      </c>
      <c r="AE57" s="55">
        <f ca="1">SUMPRODUCT(OFFSET($C7,1,0):OFFSET($C10,-1,0)*OFFSET(AE7,1,0):OFFSET(AE10,-1,0))</f>
        <v>0</v>
      </c>
      <c r="AF57" s="55">
        <f ca="1">SUMPRODUCT(OFFSET($C7,1,0):OFFSET($C10,-1,0)*OFFSET(AF7,1,0):OFFSET(AF10,-1,0))</f>
        <v>0</v>
      </c>
      <c r="AG57" s="55">
        <f ca="1">SUMPRODUCT(OFFSET($C7,1,0):OFFSET($C10,-1,0)*OFFSET(AG7,1,0):OFFSET(AG10,-1,0))</f>
        <v>0</v>
      </c>
      <c r="AH57" s="55">
        <f ca="1">SUMPRODUCT(OFFSET($C7,1,0):OFFSET($C10,-1,0)*OFFSET(AH7,1,0):OFFSET(AH10,-1,0))</f>
        <v>0</v>
      </c>
      <c r="AI57" s="55">
        <f ca="1">SUMPRODUCT(OFFSET($C7,1,0):OFFSET($C10,-1,0)*OFFSET(AI7,1,0):OFFSET(AI10,-1,0))</f>
        <v>0</v>
      </c>
      <c r="AJ57" s="55">
        <f ca="1">SUMPRODUCT(OFFSET($C7,1,0):OFFSET($C10,-1,0)*OFFSET(AJ7,1,0):OFFSET(AJ10,-1,0))</f>
        <v>0</v>
      </c>
      <c r="AK57" s="55">
        <f ca="1">SUMPRODUCT(OFFSET($C7,1,0):OFFSET($C10,-1,0)*OFFSET(AK7,1,0):OFFSET(AK10,-1,0))</f>
        <v>0</v>
      </c>
      <c r="AL57" s="55">
        <f ca="1">SUMPRODUCT(OFFSET($C7,1,0):OFFSET($C10,-1,0)*OFFSET(AL7,1,0):OFFSET(AL10,-1,0))</f>
        <v>475000</v>
      </c>
      <c r="AM57" s="55">
        <f ca="1">SUMPRODUCT(OFFSET($C7,1,0):OFFSET($C10,-1,0)*OFFSET(AM7,1,0):OFFSET(AM10,-1,0))</f>
        <v>0</v>
      </c>
      <c r="AN57" s="55">
        <f ca="1">SUMPRODUCT(OFFSET($C7,1,0):OFFSET($C10,-1,0)*OFFSET(AN7,1,0):OFFSET(AN10,-1,0))</f>
        <v>0</v>
      </c>
      <c r="AO57" s="55">
        <f ca="1">SUMPRODUCT(OFFSET($C7,1,0):OFFSET($C10,-1,0)*OFFSET(AO7,1,0):OFFSET(AO10,-1,0))</f>
        <v>0</v>
      </c>
      <c r="AP57" s="55">
        <f ca="1">SUMPRODUCT(OFFSET($C7,1,0):OFFSET($C10,-1,0)*OFFSET(AP7,1,0):OFFSET(AP10,-1,0))</f>
        <v>0</v>
      </c>
      <c r="AQ57" s="55">
        <f ca="1">SUMPRODUCT(OFFSET($C7,1,0):OFFSET($C10,-1,0)*OFFSET(AQ7,1,0):OFFSET(AQ10,-1,0))</f>
        <v>0</v>
      </c>
      <c r="AR57" s="55">
        <f ca="1">SUMPRODUCT(OFFSET($C7,1,0):OFFSET($C10,-1,0)*OFFSET(AR7,1,0):OFFSET(AR10,-1,0))</f>
        <v>0</v>
      </c>
      <c r="AS57" s="55">
        <f ca="1">SUMPRODUCT(OFFSET($C7,1,0):OFFSET($C10,-1,0)*OFFSET(AS7,1,0):OFFSET(AS10,-1,0))</f>
        <v>0</v>
      </c>
      <c r="AT57" s="55">
        <f ca="1">SUMPRODUCT(OFFSET($C7,1,0):OFFSET($C10,-1,0)*OFFSET(AT7,1,0):OFFSET(AT10,-1,0))</f>
        <v>0</v>
      </c>
      <c r="AU57" s="55">
        <f ca="1">SUMPRODUCT(OFFSET($C7,1,0):OFFSET($C10,-1,0)*OFFSET(AU7,1,0):OFFSET(AU10,-1,0))</f>
        <v>0</v>
      </c>
      <c r="AV57" s="55">
        <f ca="1">SUMPRODUCT(OFFSET($C7,1,0):OFFSET($C10,-1,0)*OFFSET(AV7,1,0):OFFSET(AV10,-1,0))</f>
        <v>0</v>
      </c>
      <c r="AW57" s="55">
        <f ca="1">SUMPRODUCT(OFFSET($C7,1,0):OFFSET($C10,-1,0)*OFFSET(AW7,1,0):OFFSET(AW10,-1,0))</f>
        <v>0</v>
      </c>
      <c r="AX57" s="55">
        <f ca="1">SUMPRODUCT(OFFSET($C7,1,0):OFFSET($C10,-1,0)*OFFSET(AX7,1,0):OFFSET(AX10,-1,0))</f>
        <v>1900000</v>
      </c>
      <c r="AY57" s="55">
        <f ca="1">SUMPRODUCT(OFFSET($C7,1,0):OFFSET($C10,-1,0)*OFFSET(AY7,1,0):OFFSET(AY10,-1,0))</f>
        <v>0</v>
      </c>
      <c r="AZ57" s="55">
        <f ca="1">SUMPRODUCT(OFFSET($C7,1,0):OFFSET($C10,-1,0)*OFFSET(AZ7,1,0):OFFSET(AZ10,-1,0))</f>
        <v>0</v>
      </c>
      <c r="BA57" s="55">
        <f ca="1">SUMPRODUCT(OFFSET($C7,1,0):OFFSET($C10,-1,0)*OFFSET(BA7,1,0):OFFSET(BA10,-1,0))</f>
        <v>0</v>
      </c>
      <c r="BB57" s="55">
        <f ca="1">SUMPRODUCT(OFFSET($C7,1,0):OFFSET($C10,-1,0)*OFFSET(BB7,1,0):OFFSET(BB10,-1,0))</f>
        <v>0</v>
      </c>
      <c r="BC57" s="55">
        <f ca="1">SUMPRODUCT(OFFSET($C7,1,0):OFFSET($C10,-1,0)*OFFSET(BC7,1,0):OFFSET(BC10,-1,0))</f>
        <v>0</v>
      </c>
      <c r="BD57" s="55">
        <f ca="1">SUMPRODUCT(OFFSET($C7,1,0):OFFSET($C10,-1,0)*OFFSET(BD7,1,0):OFFSET(BD10,-1,0))</f>
        <v>0</v>
      </c>
      <c r="BE57" s="55">
        <f ca="1">SUMPRODUCT(OFFSET($C7,1,0):OFFSET($C10,-1,0)*OFFSET(BE7,1,0):OFFSET(BE10,-1,0))</f>
        <v>0</v>
      </c>
      <c r="BF57" s="55">
        <f ca="1">SUMPRODUCT(OFFSET($C7,1,0):OFFSET($C10,-1,0)*OFFSET(BF7,1,0):OFFSET(BF10,-1,0))</f>
        <v>0</v>
      </c>
      <c r="BG57" s="55">
        <f ca="1">SUMPRODUCT(OFFSET($C7,1,0):OFFSET($C10,-1,0)*OFFSET(BG7,1,0):OFFSET(BG10,-1,0))</f>
        <v>0</v>
      </c>
      <c r="BH57" s="55">
        <f ca="1">SUMPRODUCT(OFFSET($C7,1,0):OFFSET($C10,-1,0)*OFFSET(BH7,1,0):OFFSET(BH10,-1,0))</f>
        <v>0</v>
      </c>
      <c r="BI57" s="55">
        <f ca="1">SUMPRODUCT(OFFSET($C7,1,0):OFFSET($C10,-1,0)*OFFSET(BI7,1,0):OFFSET(BI10,-1,0))</f>
        <v>0</v>
      </c>
      <c r="BJ57" s="55">
        <f ca="1">SUMPRODUCT(OFFSET($C7,1,0):OFFSET($C10,-1,0)*OFFSET(BJ7,1,0):OFFSET(BJ10,-1,0))</f>
        <v>0</v>
      </c>
      <c r="BK57" s="55">
        <f ca="1">SUMPRODUCT(OFFSET($C7,1,0):OFFSET($C10,-1,0)*OFFSET(BK7,1,0):OFFSET(BK10,-1,0))</f>
        <v>0</v>
      </c>
      <c r="BL57" s="55">
        <f ca="1">SUMPRODUCT(OFFSET($C7,1,0):OFFSET($C10,-1,0)*OFFSET(BL7,1,0):OFFSET(BL10,-1,0))</f>
        <v>0</v>
      </c>
      <c r="BM57" s="55">
        <f ca="1">SUMPRODUCT(OFFSET($C7,1,0):OFFSET($C10,-1,0)*OFFSET(BM7,1,0):OFFSET(BM10,-1,0))</f>
        <v>0</v>
      </c>
      <c r="BN57" s="55">
        <f ca="1">SUMPRODUCT(OFFSET($C7,1,0):OFFSET($C10,-1,0)*OFFSET(BN7,1,0):OFFSET(BN10,-1,0))</f>
        <v>0</v>
      </c>
      <c r="BO57" s="55">
        <f ca="1">SUMPRODUCT(OFFSET($C7,1,0):OFFSET($C10,-1,0)*OFFSET(BO7,1,0):OFFSET(BO10,-1,0))</f>
        <v>0</v>
      </c>
      <c r="BP57" s="55">
        <f ca="1">SUMPRODUCT(OFFSET($C7,1,0):OFFSET($C10,-1,0)*OFFSET(BP7,1,0):OFFSET(BP10,-1,0))</f>
        <v>0</v>
      </c>
      <c r="BQ57" s="55">
        <f ca="1">SUMPRODUCT(OFFSET($C7,1,0):OFFSET($C10,-1,0)*OFFSET(BQ7,1,0):OFFSET(BQ10,-1,0))</f>
        <v>0</v>
      </c>
      <c r="BR57" s="55">
        <f ca="1">SUMPRODUCT(OFFSET($C7,1,0):OFFSET($C10,-1,0)*OFFSET(BR7,1,0):OFFSET(BR10,-1,0))</f>
        <v>0</v>
      </c>
      <c r="BS57" s="55">
        <f ca="1">SUMPRODUCT(OFFSET($C7,1,0):OFFSET($C10,-1,0)*OFFSET(BS7,1,0):OFFSET(BS10,-1,0))</f>
        <v>0</v>
      </c>
    </row>
    <row r="58" spans="1:71" s="57" customFormat="1" x14ac:dyDescent="0.2">
      <c r="A58" s="56" t="s">
        <v>41</v>
      </c>
      <c r="B58" s="57" t="s">
        <v>104</v>
      </c>
      <c r="G58" s="57" t="str">
        <f>"Total "&amp;G56</f>
        <v>Total Output VAT</v>
      </c>
      <c r="I58" s="58"/>
      <c r="V58" s="59">
        <f ca="1">SUM(X58:BS58)</f>
        <v>2375000</v>
      </c>
      <c r="X58" s="60">
        <f ca="1">SUBTOTAL(9,OFFSET(X56,1,0):OFFSET(X58,-1,0))</f>
        <v>0</v>
      </c>
      <c r="Y58" s="60">
        <f ca="1">SUBTOTAL(9,OFFSET(Y56,1,0):OFFSET(Y58,-1,0))</f>
        <v>0</v>
      </c>
      <c r="Z58" s="60">
        <f ca="1">SUBTOTAL(9,OFFSET(Z56,1,0):OFFSET(Z58,-1,0))</f>
        <v>0</v>
      </c>
      <c r="AA58" s="60">
        <f ca="1">SUBTOTAL(9,OFFSET(AA56,1,0):OFFSET(AA58,-1,0))</f>
        <v>0</v>
      </c>
      <c r="AB58" s="60">
        <f ca="1">SUBTOTAL(9,OFFSET(AB56,1,0):OFFSET(AB58,-1,0))</f>
        <v>0</v>
      </c>
      <c r="AC58" s="60">
        <f ca="1">SUBTOTAL(9,OFFSET(AC56,1,0):OFFSET(AC58,-1,0))</f>
        <v>0</v>
      </c>
      <c r="AD58" s="60">
        <f ca="1">SUBTOTAL(9,OFFSET(AD56,1,0):OFFSET(AD58,-1,0))</f>
        <v>0</v>
      </c>
      <c r="AE58" s="60">
        <f ca="1">SUBTOTAL(9,OFFSET(AE56,1,0):OFFSET(AE58,-1,0))</f>
        <v>0</v>
      </c>
      <c r="AF58" s="60">
        <f ca="1">SUBTOTAL(9,OFFSET(AF56,1,0):OFFSET(AF58,-1,0))</f>
        <v>0</v>
      </c>
      <c r="AG58" s="60">
        <f ca="1">SUBTOTAL(9,OFFSET(AG56,1,0):OFFSET(AG58,-1,0))</f>
        <v>0</v>
      </c>
      <c r="AH58" s="60">
        <f ca="1">SUBTOTAL(9,OFFSET(AH56,1,0):OFFSET(AH58,-1,0))</f>
        <v>0</v>
      </c>
      <c r="AI58" s="60">
        <f ca="1">SUBTOTAL(9,OFFSET(AI56,1,0):OFFSET(AI58,-1,0))</f>
        <v>0</v>
      </c>
      <c r="AJ58" s="60">
        <f ca="1">SUBTOTAL(9,OFFSET(AJ56,1,0):OFFSET(AJ58,-1,0))</f>
        <v>0</v>
      </c>
      <c r="AK58" s="60">
        <f ca="1">SUBTOTAL(9,OFFSET(AK56,1,0):OFFSET(AK58,-1,0))</f>
        <v>0</v>
      </c>
      <c r="AL58" s="60">
        <f ca="1">SUBTOTAL(9,OFFSET(AL56,1,0):OFFSET(AL58,-1,0))</f>
        <v>475000</v>
      </c>
      <c r="AM58" s="60">
        <f ca="1">SUBTOTAL(9,OFFSET(AM56,1,0):OFFSET(AM58,-1,0))</f>
        <v>0</v>
      </c>
      <c r="AN58" s="60">
        <f ca="1">SUBTOTAL(9,OFFSET(AN56,1,0):OFFSET(AN58,-1,0))</f>
        <v>0</v>
      </c>
      <c r="AO58" s="60">
        <f ca="1">SUBTOTAL(9,OFFSET(AO56,1,0):OFFSET(AO58,-1,0))</f>
        <v>0</v>
      </c>
      <c r="AP58" s="60">
        <f ca="1">SUBTOTAL(9,OFFSET(AP56,1,0):OFFSET(AP58,-1,0))</f>
        <v>0</v>
      </c>
      <c r="AQ58" s="60">
        <f ca="1">SUBTOTAL(9,OFFSET(AQ56,1,0):OFFSET(AQ58,-1,0))</f>
        <v>0</v>
      </c>
      <c r="AR58" s="60">
        <f ca="1">SUBTOTAL(9,OFFSET(AR56,1,0):OFFSET(AR58,-1,0))</f>
        <v>0</v>
      </c>
      <c r="AS58" s="60">
        <f ca="1">SUBTOTAL(9,OFFSET(AS56,1,0):OFFSET(AS58,-1,0))</f>
        <v>0</v>
      </c>
      <c r="AT58" s="60">
        <f ca="1">SUBTOTAL(9,OFFSET(AT56,1,0):OFFSET(AT58,-1,0))</f>
        <v>0</v>
      </c>
      <c r="AU58" s="60">
        <f ca="1">SUBTOTAL(9,OFFSET(AU56,1,0):OFFSET(AU58,-1,0))</f>
        <v>0</v>
      </c>
      <c r="AV58" s="60">
        <f ca="1">SUBTOTAL(9,OFFSET(AV56,1,0):OFFSET(AV58,-1,0))</f>
        <v>0</v>
      </c>
      <c r="AW58" s="60">
        <f ca="1">SUBTOTAL(9,OFFSET(AW56,1,0):OFFSET(AW58,-1,0))</f>
        <v>0</v>
      </c>
      <c r="AX58" s="60">
        <f ca="1">SUBTOTAL(9,OFFSET(AX56,1,0):OFFSET(AX58,-1,0))</f>
        <v>1900000</v>
      </c>
      <c r="AY58" s="60">
        <f ca="1">SUBTOTAL(9,OFFSET(AY56,1,0):OFFSET(AY58,-1,0))</f>
        <v>0</v>
      </c>
      <c r="AZ58" s="60">
        <f ca="1">SUBTOTAL(9,OFFSET(AZ56,1,0):OFFSET(AZ58,-1,0))</f>
        <v>0</v>
      </c>
      <c r="BA58" s="60">
        <f ca="1">SUBTOTAL(9,OFFSET(BA56,1,0):OFFSET(BA58,-1,0))</f>
        <v>0</v>
      </c>
      <c r="BB58" s="60">
        <f ca="1">SUBTOTAL(9,OFFSET(BB56,1,0):OFFSET(BB58,-1,0))</f>
        <v>0</v>
      </c>
      <c r="BC58" s="60">
        <f ca="1">SUBTOTAL(9,OFFSET(BC56,1,0):OFFSET(BC58,-1,0))</f>
        <v>0</v>
      </c>
      <c r="BD58" s="60">
        <f ca="1">SUBTOTAL(9,OFFSET(BD56,1,0):OFFSET(BD58,-1,0))</f>
        <v>0</v>
      </c>
      <c r="BE58" s="60">
        <f ca="1">SUBTOTAL(9,OFFSET(BE56,1,0):OFFSET(BE58,-1,0))</f>
        <v>0</v>
      </c>
      <c r="BF58" s="60">
        <f ca="1">SUBTOTAL(9,OFFSET(BF56,1,0):OFFSET(BF58,-1,0))</f>
        <v>0</v>
      </c>
      <c r="BG58" s="60">
        <f ca="1">SUBTOTAL(9,OFFSET(BG56,1,0):OFFSET(BG58,-1,0))</f>
        <v>0</v>
      </c>
      <c r="BH58" s="60">
        <f ca="1">SUBTOTAL(9,OFFSET(BH56,1,0):OFFSET(BH58,-1,0))</f>
        <v>0</v>
      </c>
      <c r="BI58" s="60">
        <f ca="1">SUBTOTAL(9,OFFSET(BI56,1,0):OFFSET(BI58,-1,0))</f>
        <v>0</v>
      </c>
      <c r="BJ58" s="60">
        <f ca="1">SUBTOTAL(9,OFFSET(BJ56,1,0):OFFSET(BJ58,-1,0))</f>
        <v>0</v>
      </c>
      <c r="BK58" s="60">
        <f ca="1">SUBTOTAL(9,OFFSET(BK56,1,0):OFFSET(BK58,-1,0))</f>
        <v>0</v>
      </c>
      <c r="BL58" s="60">
        <f ca="1">SUBTOTAL(9,OFFSET(BL56,1,0):OFFSET(BL58,-1,0))</f>
        <v>0</v>
      </c>
      <c r="BM58" s="60">
        <f ca="1">SUBTOTAL(9,OFFSET(BM56,1,0):OFFSET(BM58,-1,0))</f>
        <v>0</v>
      </c>
      <c r="BN58" s="60">
        <f ca="1">SUBTOTAL(9,OFFSET(BN56,1,0):OFFSET(BN58,-1,0))</f>
        <v>0</v>
      </c>
      <c r="BO58" s="60">
        <f ca="1">SUBTOTAL(9,OFFSET(BO56,1,0):OFFSET(BO58,-1,0))</f>
        <v>0</v>
      </c>
      <c r="BP58" s="60">
        <f ca="1">SUBTOTAL(9,OFFSET(BP56,1,0):OFFSET(BP58,-1,0))</f>
        <v>0</v>
      </c>
      <c r="BQ58" s="60">
        <f ca="1">SUBTOTAL(9,OFFSET(BQ56,1,0):OFFSET(BQ58,-1,0))</f>
        <v>0</v>
      </c>
      <c r="BR58" s="60">
        <f ca="1">SUBTOTAL(9,OFFSET(BR56,1,0):OFFSET(BR58,-1,0))</f>
        <v>0</v>
      </c>
      <c r="BS58" s="60">
        <f ca="1">SUBTOTAL(9,OFFSET(BS56,1,0):OFFSET(BS58,-1,0))</f>
        <v>0</v>
      </c>
    </row>
    <row r="59" spans="1:71" x14ac:dyDescent="0.2">
      <c r="V59" s="69"/>
    </row>
    <row r="60" spans="1:71" s="38" customFormat="1" x14ac:dyDescent="0.2">
      <c r="A60" s="43" t="s">
        <v>39</v>
      </c>
      <c r="G60" s="38" t="s">
        <v>105</v>
      </c>
      <c r="I60" s="76"/>
      <c r="V60" s="97"/>
    </row>
    <row r="61" spans="1:71" x14ac:dyDescent="0.2">
      <c r="A61" s="36" t="s">
        <v>41</v>
      </c>
      <c r="B61" s="37" t="s">
        <v>106</v>
      </c>
      <c r="G61" s="37" t="str">
        <f>$G$16</f>
        <v>Direct Manufacturing</v>
      </c>
      <c r="V61" s="81">
        <f t="shared" ref="V61:V66" ca="1" si="10">SUM(X61:BS61)</f>
        <v>950000.00000000012</v>
      </c>
      <c r="X61" s="68">
        <f ca="1">SUMPRODUCT(--(OFFSET($D16,1,0):OFFSET($D18,-1,0)="Y")*OFFSET($C16,1,0):OFFSET($C18,-1,0)*OFFSET(X16,1,0):OFFSET(X18,-1,0))-SUMPRODUCT(--(OFFSET($D16,1,0):OFFSET($D18,-1,0)="Y")*OFFSET($C16,1,0):OFFSET($C18,-1,0)*--(OFFSET($E16,1,0):OFFSET($E18,-1,0)=X$4)*OFFSET($W16,1,0):OFFSET(W18,-1,0))</f>
        <v>0</v>
      </c>
      <c r="Y61" s="68">
        <f ca="1">SUMPRODUCT(--(OFFSET($D16,1,0):OFFSET($D18,-1,0)="Y")*OFFSET($C16,1,0):OFFSET($C18,-1,0)*OFFSET(Y16,1,0):OFFSET(Y18,-1,0))-SUMPRODUCT(--(OFFSET($D16,1,0):OFFSET($D18,-1,0)="Y")*OFFSET($C16,1,0):OFFSET($C18,-1,0)*--(OFFSET($E16,1,0):OFFSET($E18,-1,0)=Y$4)*OFFSET($W16,1,0):OFFSET(X18,-1,0))</f>
        <v>0</v>
      </c>
      <c r="Z61" s="68">
        <f ca="1">SUMPRODUCT(--(OFFSET($D16,1,0):OFFSET($D18,-1,0)="Y")*OFFSET($C16,1,0):OFFSET($C18,-1,0)*OFFSET(Z16,1,0):OFFSET(Z18,-1,0))-SUMPRODUCT(--(OFFSET($D16,1,0):OFFSET($D18,-1,0)="Y")*OFFSET($C16,1,0):OFFSET($C18,-1,0)*--(OFFSET($E16,1,0):OFFSET($E18,-1,0)=Z$4)*OFFSET($W16,1,0):OFFSET(Y18,-1,0))</f>
        <v>0</v>
      </c>
      <c r="AA61" s="68">
        <f ca="1">SUMPRODUCT(--(OFFSET($D16,1,0):OFFSET($D18,-1,0)="Y")*OFFSET($C16,1,0):OFFSET($C18,-1,0)*OFFSET(AA16,1,0):OFFSET(AA18,-1,0))-SUMPRODUCT(--(OFFSET($D16,1,0):OFFSET($D18,-1,0)="Y")*OFFSET($C16,1,0):OFFSET($C18,-1,0)*--(OFFSET($E16,1,0):OFFSET($E18,-1,0)=AA$4)*OFFSET($W16,1,0):OFFSET(Z18,-1,0))</f>
        <v>0</v>
      </c>
      <c r="AB61" s="68">
        <f ca="1">SUMPRODUCT(--(OFFSET($D16,1,0):OFFSET($D18,-1,0)="Y")*OFFSET($C16,1,0):OFFSET($C18,-1,0)*OFFSET(AB16,1,0):OFFSET(AB18,-1,0))-SUMPRODUCT(--(OFFSET($D16,1,0):OFFSET($D18,-1,0)="Y")*OFFSET($C16,1,0):OFFSET($C18,-1,0)*--(OFFSET($E16,1,0):OFFSET($E18,-1,0)=AB$4)*OFFSET($W16,1,0):OFFSET(AA18,-1,0))</f>
        <v>28743.470659707928</v>
      </c>
      <c r="AC61" s="68">
        <f ca="1">SUMPRODUCT(--(OFFSET($D16,1,0):OFFSET($D18,-1,0)="Y")*OFFSET($C16,1,0):OFFSET($C18,-1,0)*OFFSET(AC16,1,0):OFFSET(AC18,-1,0))-SUMPRODUCT(--(OFFSET($D16,1,0):OFFSET($D18,-1,0)="Y")*OFFSET($C16,1,0):OFFSET($C18,-1,0)*--(OFFSET($E16,1,0):OFFSET($E18,-1,0)=AC$4)*OFFSET($W16,1,0):OFFSET(AB18,-1,0))</f>
        <v>35401.138027605026</v>
      </c>
      <c r="AD61" s="68">
        <f ca="1">SUMPRODUCT(--(OFFSET($D16,1,0):OFFSET($D18,-1,0)="Y")*OFFSET($C16,1,0):OFFSET($C18,-1,0)*OFFSET(AD16,1,0):OFFSET(AD18,-1,0))-SUMPRODUCT(--(OFFSET($D16,1,0):OFFSET($D18,-1,0)="Y")*OFFSET($C16,1,0):OFFSET($C18,-1,0)*--(OFFSET($E16,1,0):OFFSET($E18,-1,0)=AD$4)*OFFSET($W16,1,0):OFFSET(AC18,-1,0))</f>
        <v>42406.409694430142</v>
      </c>
      <c r="AE61" s="68">
        <f ca="1">SUMPRODUCT(--(OFFSET($D16,1,0):OFFSET($D18,-1,0)="Y")*OFFSET($C16,1,0):OFFSET($C18,-1,0)*OFFSET(AE16,1,0):OFFSET(AE18,-1,0))-SUMPRODUCT(--(OFFSET($D16,1,0):OFFSET($D18,-1,0)="Y")*OFFSET($C16,1,0):OFFSET($C18,-1,0)*--(OFFSET($E16,1,0):OFFSET($E18,-1,0)=AE$4)*OFFSET($W16,1,0):OFFSET(AD18,-1,0))</f>
        <v>49406.268093513238</v>
      </c>
      <c r="AF61" s="68">
        <f ca="1">SUMPRODUCT(--(OFFSET($D16,1,0):OFFSET($D18,-1,0)="Y")*OFFSET($C16,1,0):OFFSET($C18,-1,0)*OFFSET(AF16,1,0):OFFSET(AF18,-1,0))-SUMPRODUCT(--(OFFSET($D16,1,0):OFFSET($D18,-1,0)="Y")*OFFSET($C16,1,0):OFFSET($C18,-1,0)*--(OFFSET($E16,1,0):OFFSET($E18,-1,0)=AF$4)*OFFSET($W16,1,0):OFFSET(AE18,-1,0))</f>
        <v>55984.636261969434</v>
      </c>
      <c r="AG61" s="68">
        <f ca="1">SUMPRODUCT(--(OFFSET($D16,1,0):OFFSET($D18,-1,0)="Y")*OFFSET($C16,1,0):OFFSET($C18,-1,0)*OFFSET(AG16,1,0):OFFSET(AG18,-1,0))-SUMPRODUCT(--(OFFSET($D16,1,0):OFFSET($D18,-1,0)="Y")*OFFSET($C16,1,0):OFFSET($C18,-1,0)*--(OFFSET($E16,1,0):OFFSET($E18,-1,0)=AG$4)*OFFSET($W16,1,0):OFFSET(AF18,-1,0))</f>
        <v>61700.962030177921</v>
      </c>
      <c r="AH61" s="68">
        <f ca="1">SUMPRODUCT(--(OFFSET($D16,1,0):OFFSET($D18,-1,0)="Y")*OFFSET($C16,1,0):OFFSET($C18,-1,0)*OFFSET(AH16,1,0):OFFSET(AH18,-1,0))-SUMPRODUCT(--(OFFSET($D16,1,0):OFFSET($D18,-1,0)="Y")*OFFSET($C16,1,0):OFFSET($C18,-1,0)*--(OFFSET($E16,1,0):OFFSET($E18,-1,0)=AH$4)*OFFSET($W16,1,0):OFFSET(AG18,-1,0))</f>
        <v>66138.033008573213</v>
      </c>
      <c r="AI61" s="68">
        <f ca="1">SUMPRODUCT(--(OFFSET($D16,1,0):OFFSET($D18,-1,0)="Y")*OFFSET($C16,1,0):OFFSET($C18,-1,0)*OFFSET(AI16,1,0):OFFSET(AI18,-1,0))-SUMPRODUCT(--(OFFSET($D16,1,0):OFFSET($D18,-1,0)="Y")*OFFSET($C16,1,0):OFFSET($C18,-1,0)*--(OFFSET($E16,1,0):OFFSET($E18,-1,0)=AI$4)*OFFSET($W16,1,0):OFFSET(AH18,-1,0))</f>
        <v>68952.001628441518</v>
      </c>
      <c r="AJ61" s="68">
        <f ca="1">SUMPRODUCT(--(OFFSET($D16,1,0):OFFSET($D18,-1,0)="Y")*OFFSET($C16,1,0):OFFSET($C18,-1,0)*OFFSET(AJ16,1,0):OFFSET(AJ18,-1,0))-SUMPRODUCT(--(OFFSET($D16,1,0):OFFSET($D18,-1,0)="Y")*OFFSET($C16,1,0):OFFSET($C18,-1,0)*--(OFFSET($E16,1,0):OFFSET($E18,-1,0)=AJ$4)*OFFSET($W16,1,0):OFFSET(AI18,-1,0))</f>
        <v>69916.34967723109</v>
      </c>
      <c r="AK61" s="68">
        <f ca="1">SUMPRODUCT(--(OFFSET($D16,1,0):OFFSET($D18,-1,0)="Y")*OFFSET($C16,1,0):OFFSET($C18,-1,0)*OFFSET(AK16,1,0):OFFSET(AK18,-1,0))-SUMPRODUCT(--(OFFSET($D16,1,0):OFFSET($D18,-1,0)="Y")*OFFSET($C16,1,0):OFFSET($C18,-1,0)*--(OFFSET($E16,1,0):OFFSET($E18,-1,0)=AK$4)*OFFSET($W16,1,0):OFFSET(AJ18,-1,0))</f>
        <v>68952.001628441518</v>
      </c>
      <c r="AL61" s="68">
        <f ca="1">SUMPRODUCT(--(OFFSET($D16,1,0):OFFSET($D18,-1,0)="Y")*OFFSET($C16,1,0):OFFSET($C18,-1,0)*OFFSET(AL16,1,0):OFFSET(AL18,-1,0))-SUMPRODUCT(--(OFFSET($D16,1,0):OFFSET($D18,-1,0)="Y")*OFFSET($C16,1,0):OFFSET($C18,-1,0)*--(OFFSET($E16,1,0):OFFSET($E18,-1,0)=AL$4)*OFFSET($W16,1,0):OFFSET(AK18,-1,0))</f>
        <v>66138.033008573213</v>
      </c>
      <c r="AM61" s="68">
        <f ca="1">SUMPRODUCT(--(OFFSET($D16,1,0):OFFSET($D18,-1,0)="Y")*OFFSET($C16,1,0):OFFSET($C18,-1,0)*OFFSET(AM16,1,0):OFFSET(AM18,-1,0))-SUMPRODUCT(--(OFFSET($D16,1,0):OFFSET($D18,-1,0)="Y")*OFFSET($C16,1,0):OFFSET($C18,-1,0)*--(OFFSET($E16,1,0):OFFSET($E18,-1,0)=AM$4)*OFFSET($W16,1,0):OFFSET(AL18,-1,0))</f>
        <v>61700.962030177921</v>
      </c>
      <c r="AN61" s="68">
        <f ca="1">SUMPRODUCT(--(OFFSET($D16,1,0):OFFSET($D18,-1,0)="Y")*OFFSET($C16,1,0):OFFSET($C18,-1,0)*OFFSET(AN16,1,0):OFFSET(AN18,-1,0))-SUMPRODUCT(--(OFFSET($D16,1,0):OFFSET($D18,-1,0)="Y")*OFFSET($C16,1,0):OFFSET($C18,-1,0)*--(OFFSET($E16,1,0):OFFSET($E18,-1,0)=AN$4)*OFFSET($W16,1,0):OFFSET(AM18,-1,0))</f>
        <v>55984.636261969434</v>
      </c>
      <c r="AO61" s="68">
        <f ca="1">SUMPRODUCT(--(OFFSET($D16,1,0):OFFSET($D18,-1,0)="Y")*OFFSET($C16,1,0):OFFSET($C18,-1,0)*OFFSET(AO16,1,0):OFFSET(AO18,-1,0))-SUMPRODUCT(--(OFFSET($D16,1,0):OFFSET($D18,-1,0)="Y")*OFFSET($C16,1,0):OFFSET($C18,-1,0)*--(OFFSET($E16,1,0):OFFSET($E18,-1,0)=AO$4)*OFFSET($W16,1,0):OFFSET(AN18,-1,0))</f>
        <v>49406.268093513238</v>
      </c>
      <c r="AP61" s="68">
        <f ca="1">SUMPRODUCT(--(OFFSET($D16,1,0):OFFSET($D18,-1,0)="Y")*OFFSET($C16,1,0):OFFSET($C18,-1,0)*OFFSET(AP16,1,0):OFFSET(AP18,-1,0))-SUMPRODUCT(--(OFFSET($D16,1,0):OFFSET($D18,-1,0)="Y")*OFFSET($C16,1,0):OFFSET($C18,-1,0)*--(OFFSET($E16,1,0):OFFSET($E18,-1,0)=AP$4)*OFFSET($W16,1,0):OFFSET(AO18,-1,0))</f>
        <v>42406.409694430142</v>
      </c>
      <c r="AQ61" s="68">
        <f ca="1">SUMPRODUCT(--(OFFSET($D16,1,0):OFFSET($D18,-1,0)="Y")*OFFSET($C16,1,0):OFFSET($C18,-1,0)*OFFSET(AQ16,1,0):OFFSET(AQ18,-1,0))-SUMPRODUCT(--(OFFSET($D16,1,0):OFFSET($D18,-1,0)="Y")*OFFSET($C16,1,0):OFFSET($C18,-1,0)*--(OFFSET($E16,1,0):OFFSET($E18,-1,0)=AQ$4)*OFFSET($W16,1,0):OFFSET(AP18,-1,0))</f>
        <v>35401.138027605026</v>
      </c>
      <c r="AR61" s="68">
        <f ca="1">SUMPRODUCT(--(OFFSET($D16,1,0):OFFSET($D18,-1,0)="Y")*OFFSET($C16,1,0):OFFSET($C18,-1,0)*OFFSET(AR16,1,0):OFFSET(AR18,-1,0))-SUMPRODUCT(--(OFFSET($D16,1,0):OFFSET($D18,-1,0)="Y")*OFFSET($C16,1,0):OFFSET($C18,-1,0)*--(OFFSET($E16,1,0):OFFSET($E18,-1,0)=AR$4)*OFFSET($W16,1,0):OFFSET(AQ18,-1,0))</f>
        <v>28743.470659707928</v>
      </c>
      <c r="AS61" s="68">
        <f ca="1">SUMPRODUCT(--(OFFSET($D16,1,0):OFFSET($D18,-1,0)="Y")*OFFSET($C16,1,0):OFFSET($C18,-1,0)*OFFSET(AS16,1,0):OFFSET(AS18,-1,0))-SUMPRODUCT(--(OFFSET($D16,1,0):OFFSET($D18,-1,0)="Y")*OFFSET($C16,1,0):OFFSET($C18,-1,0)*--(OFFSET($E16,1,0):OFFSET($E18,-1,0)=AS$4)*OFFSET($W16,1,0):OFFSET(AR18,-1,0))</f>
        <v>22698.515431402233</v>
      </c>
      <c r="AT61" s="68">
        <f ca="1">SUMPRODUCT(--(OFFSET($D16,1,0):OFFSET($D18,-1,0)="Y")*OFFSET($C16,1,0):OFFSET($C18,-1,0)*OFFSET(AT16,1,0):OFFSET(AT18,-1,0))-SUMPRODUCT(--(OFFSET($D16,1,0):OFFSET($D18,-1,0)="Y")*OFFSET($C16,1,0):OFFSET($C18,-1,0)*--(OFFSET($E16,1,0):OFFSET($E18,-1,0)=AT$4)*OFFSET($W16,1,0):OFFSET(AS18,-1,0))</f>
        <v>17433.796221663368</v>
      </c>
      <c r="AU61" s="68">
        <f ca="1">SUMPRODUCT(--(OFFSET($D16,1,0):OFFSET($D18,-1,0)="Y")*OFFSET($C16,1,0):OFFSET($C18,-1,0)*OFFSET(AU16,1,0):OFFSET(AU18,-1,0))-SUMPRODUCT(--(OFFSET($D16,1,0):OFFSET($D18,-1,0)="Y")*OFFSET($C16,1,0):OFFSET($C18,-1,0)*--(OFFSET($E16,1,0):OFFSET($E18,-1,0)=AU$4)*OFFSET($W16,1,0):OFFSET(AT18,-1,0))</f>
        <v>13023.350874428441</v>
      </c>
      <c r="AV61" s="68">
        <f ca="1">SUMPRODUCT(--(OFFSET($D16,1,0):OFFSET($D18,-1,0)="Y")*OFFSET($C16,1,0):OFFSET($C18,-1,0)*OFFSET(AV16,1,0):OFFSET(AV18,-1,0))-SUMPRODUCT(--(OFFSET($D16,1,0):OFFSET($D18,-1,0)="Y")*OFFSET($C16,1,0):OFFSET($C18,-1,0)*--(OFFSET($E16,1,0):OFFSET($E18,-1,0)=AV$4)*OFFSET($W16,1,0):OFFSET(AU18,-1,0))</f>
        <v>9462.1489864381256</v>
      </c>
      <c r="AW61" s="68">
        <f ca="1">SUMPRODUCT(--(OFFSET($D16,1,0):OFFSET($D18,-1,0)="Y")*OFFSET($C16,1,0):OFFSET($C18,-1,0)*OFFSET(AW16,1,0):OFFSET(AW18,-1,0))-SUMPRODUCT(--(OFFSET($D16,1,0):OFFSET($D18,-1,0)="Y")*OFFSET($C16,1,0):OFFSET($C18,-1,0)*--(OFFSET($E16,1,0):OFFSET($E18,-1,0)=AW$4)*OFFSET($W16,1,0):OFFSET(AV18,-1,0))</f>
        <v>0</v>
      </c>
      <c r="AX61" s="68">
        <f ca="1">SUMPRODUCT(--(OFFSET($D16,1,0):OFFSET($D18,-1,0)="Y")*OFFSET($C16,1,0):OFFSET($C18,-1,0)*OFFSET(AX16,1,0):OFFSET(AX18,-1,0))-SUMPRODUCT(--(OFFSET($D16,1,0):OFFSET($D18,-1,0)="Y")*OFFSET($C16,1,0):OFFSET($C18,-1,0)*--(OFFSET($E16,1,0):OFFSET($E18,-1,0)=AX$4)*OFFSET($W16,1,0):OFFSET(AW18,-1,0))</f>
        <v>0</v>
      </c>
      <c r="AY61" s="68">
        <f ca="1">SUMPRODUCT(--(OFFSET($D16,1,0):OFFSET($D18,-1,0)="Y")*OFFSET($C16,1,0):OFFSET($C18,-1,0)*OFFSET(AY16,1,0):OFFSET(AY18,-1,0))-SUMPRODUCT(--(OFFSET($D16,1,0):OFFSET($D18,-1,0)="Y")*OFFSET($C16,1,0):OFFSET($C18,-1,0)*--(OFFSET($E16,1,0):OFFSET($E18,-1,0)=AY$4)*OFFSET($W16,1,0):OFFSET(AX18,-1,0))</f>
        <v>0</v>
      </c>
      <c r="AZ61" s="68">
        <f ca="1">SUMPRODUCT(--(OFFSET($D16,1,0):OFFSET($D18,-1,0)="Y")*OFFSET($C16,1,0):OFFSET($C18,-1,0)*OFFSET(AZ16,1,0):OFFSET(AZ18,-1,0))-SUMPRODUCT(--(OFFSET($D16,1,0):OFFSET($D18,-1,0)="Y")*OFFSET($C16,1,0):OFFSET($C18,-1,0)*--(OFFSET($E16,1,0):OFFSET($E18,-1,0)=AZ$4)*OFFSET($W16,1,0):OFFSET(AY18,-1,0))</f>
        <v>0</v>
      </c>
      <c r="BA61" s="68">
        <f ca="1">SUMPRODUCT(--(OFFSET($D16,1,0):OFFSET($D18,-1,0)="Y")*OFFSET($C16,1,0):OFFSET($C18,-1,0)*OFFSET(BA16,1,0):OFFSET(BA18,-1,0))-SUMPRODUCT(--(OFFSET($D16,1,0):OFFSET($D18,-1,0)="Y")*OFFSET($C16,1,0):OFFSET($C18,-1,0)*--(OFFSET($E16,1,0):OFFSET($E18,-1,0)=BA$4)*OFFSET($W16,1,0):OFFSET(AZ18,-1,0))</f>
        <v>0</v>
      </c>
      <c r="BB61" s="68">
        <f ca="1">SUMPRODUCT(--(OFFSET($D16,1,0):OFFSET($D18,-1,0)="Y")*OFFSET($C16,1,0):OFFSET($C18,-1,0)*OFFSET(BB16,1,0):OFFSET(BB18,-1,0))-SUMPRODUCT(--(OFFSET($D16,1,0):OFFSET($D18,-1,0)="Y")*OFFSET($C16,1,0):OFFSET($C18,-1,0)*--(OFFSET($E16,1,0):OFFSET($E18,-1,0)=BB$4)*OFFSET($W16,1,0):OFFSET(BA18,-1,0))</f>
        <v>0</v>
      </c>
      <c r="BC61" s="68">
        <f ca="1">SUMPRODUCT(--(OFFSET($D16,1,0):OFFSET($D18,-1,0)="Y")*OFFSET($C16,1,0):OFFSET($C18,-1,0)*OFFSET(BC16,1,0):OFFSET(BC18,-1,0))-SUMPRODUCT(--(OFFSET($D16,1,0):OFFSET($D18,-1,0)="Y")*OFFSET($C16,1,0):OFFSET($C18,-1,0)*--(OFFSET($E16,1,0):OFFSET($E18,-1,0)=BC$4)*OFFSET($W16,1,0):OFFSET(BB18,-1,0))</f>
        <v>0</v>
      </c>
      <c r="BD61" s="68">
        <f ca="1">SUMPRODUCT(--(OFFSET($D16,1,0):OFFSET($D18,-1,0)="Y")*OFFSET($C16,1,0):OFFSET($C18,-1,0)*OFFSET(BD16,1,0):OFFSET(BD18,-1,0))-SUMPRODUCT(--(OFFSET($D16,1,0):OFFSET($D18,-1,0)="Y")*OFFSET($C16,1,0):OFFSET($C18,-1,0)*--(OFFSET($E16,1,0):OFFSET($E18,-1,0)=BD$4)*OFFSET($W16,1,0):OFFSET(BC18,-1,0))</f>
        <v>0</v>
      </c>
      <c r="BE61" s="68">
        <f ca="1">SUMPRODUCT(--(OFFSET($D16,1,0):OFFSET($D18,-1,0)="Y")*OFFSET($C16,1,0):OFFSET($C18,-1,0)*OFFSET(BE16,1,0):OFFSET(BE18,-1,0))-SUMPRODUCT(--(OFFSET($D16,1,0):OFFSET($D18,-1,0)="Y")*OFFSET($C16,1,0):OFFSET($C18,-1,0)*--(OFFSET($E16,1,0):OFFSET($E18,-1,0)=BE$4)*OFFSET($W16,1,0):OFFSET(BD18,-1,0))</f>
        <v>0</v>
      </c>
      <c r="BF61" s="68">
        <f ca="1">SUMPRODUCT(--(OFFSET($D16,1,0):OFFSET($D18,-1,0)="Y")*OFFSET($C16,1,0):OFFSET($C18,-1,0)*OFFSET(BF16,1,0):OFFSET(BF18,-1,0))-SUMPRODUCT(--(OFFSET($D16,1,0):OFFSET($D18,-1,0)="Y")*OFFSET($C16,1,0):OFFSET($C18,-1,0)*--(OFFSET($E16,1,0):OFFSET($E18,-1,0)=BF$4)*OFFSET($W16,1,0):OFFSET(BE18,-1,0))</f>
        <v>0</v>
      </c>
      <c r="BG61" s="68">
        <f ca="1">SUMPRODUCT(--(OFFSET($D16,1,0):OFFSET($D18,-1,0)="Y")*OFFSET($C16,1,0):OFFSET($C18,-1,0)*OFFSET(BG16,1,0):OFFSET(BG18,-1,0))-SUMPRODUCT(--(OFFSET($D16,1,0):OFFSET($D18,-1,0)="Y")*OFFSET($C16,1,0):OFFSET($C18,-1,0)*--(OFFSET($E16,1,0):OFFSET($E18,-1,0)=BG$4)*OFFSET($W16,1,0):OFFSET(BF18,-1,0))</f>
        <v>0</v>
      </c>
      <c r="BH61" s="68">
        <f ca="1">SUMPRODUCT(--(OFFSET($D16,1,0):OFFSET($D18,-1,0)="Y")*OFFSET($C16,1,0):OFFSET($C18,-1,0)*OFFSET(BH16,1,0):OFFSET(BH18,-1,0))-SUMPRODUCT(--(OFFSET($D16,1,0):OFFSET($D18,-1,0)="Y")*OFFSET($C16,1,0):OFFSET($C18,-1,0)*--(OFFSET($E16,1,0):OFFSET($E18,-1,0)=BH$4)*OFFSET($W16,1,0):OFFSET(BG18,-1,0))</f>
        <v>0</v>
      </c>
      <c r="BI61" s="68">
        <f ca="1">SUMPRODUCT(--(OFFSET($D16,1,0):OFFSET($D18,-1,0)="Y")*OFFSET($C16,1,0):OFFSET($C18,-1,0)*OFFSET(BI16,1,0):OFFSET(BI18,-1,0))-SUMPRODUCT(--(OFFSET($D16,1,0):OFFSET($D18,-1,0)="Y")*OFFSET($C16,1,0):OFFSET($C18,-1,0)*--(OFFSET($E16,1,0):OFFSET($E18,-1,0)=BI$4)*OFFSET($W16,1,0):OFFSET(BH18,-1,0))</f>
        <v>0</v>
      </c>
      <c r="BJ61" s="68">
        <f ca="1">SUMPRODUCT(--(OFFSET($D16,1,0):OFFSET($D18,-1,0)="Y")*OFFSET($C16,1,0):OFFSET($C18,-1,0)*OFFSET(BJ16,1,0):OFFSET(BJ18,-1,0))-SUMPRODUCT(--(OFFSET($D16,1,0):OFFSET($D18,-1,0)="Y")*OFFSET($C16,1,0):OFFSET($C18,-1,0)*--(OFFSET($E16,1,0):OFFSET($E18,-1,0)=BJ$4)*OFFSET($W16,1,0):OFFSET(BI18,-1,0))</f>
        <v>0</v>
      </c>
      <c r="BK61" s="68">
        <f ca="1">SUMPRODUCT(--(OFFSET($D16,1,0):OFFSET($D18,-1,0)="Y")*OFFSET($C16,1,0):OFFSET($C18,-1,0)*OFFSET(BK16,1,0):OFFSET(BK18,-1,0))-SUMPRODUCT(--(OFFSET($D16,1,0):OFFSET($D18,-1,0)="Y")*OFFSET($C16,1,0):OFFSET($C18,-1,0)*--(OFFSET($E16,1,0):OFFSET($E18,-1,0)=BK$4)*OFFSET($W16,1,0):OFFSET(BJ18,-1,0))</f>
        <v>0</v>
      </c>
      <c r="BL61" s="68">
        <f ca="1">SUMPRODUCT(--(OFFSET($D16,1,0):OFFSET($D18,-1,0)="Y")*OFFSET($C16,1,0):OFFSET($C18,-1,0)*OFFSET(BL16,1,0):OFFSET(BL18,-1,0))-SUMPRODUCT(--(OFFSET($D16,1,0):OFFSET($D18,-1,0)="Y")*OFFSET($C16,1,0):OFFSET($C18,-1,0)*--(OFFSET($E16,1,0):OFFSET($E18,-1,0)=BL$4)*OFFSET($W16,1,0):OFFSET(BK18,-1,0))</f>
        <v>0</v>
      </c>
      <c r="BM61" s="68">
        <f ca="1">SUMPRODUCT(--(OFFSET($D16,1,0):OFFSET($D18,-1,0)="Y")*OFFSET($C16,1,0):OFFSET($C18,-1,0)*OFFSET(BM16,1,0):OFFSET(BM18,-1,0))-SUMPRODUCT(--(OFFSET($D16,1,0):OFFSET($D18,-1,0)="Y")*OFFSET($C16,1,0):OFFSET($C18,-1,0)*--(OFFSET($E16,1,0):OFFSET($E18,-1,0)=BM$4)*OFFSET($W16,1,0):OFFSET(BL18,-1,0))</f>
        <v>0</v>
      </c>
      <c r="BN61" s="68">
        <f ca="1">SUMPRODUCT(--(OFFSET($D16,1,0):OFFSET($D18,-1,0)="Y")*OFFSET($C16,1,0):OFFSET($C18,-1,0)*OFFSET(BN16,1,0):OFFSET(BN18,-1,0))-SUMPRODUCT(--(OFFSET($D16,1,0):OFFSET($D18,-1,0)="Y")*OFFSET($C16,1,0):OFFSET($C18,-1,0)*--(OFFSET($E16,1,0):OFFSET($E18,-1,0)=BN$4)*OFFSET($W16,1,0):OFFSET(BM18,-1,0))</f>
        <v>0</v>
      </c>
      <c r="BO61" s="68">
        <f ca="1">SUMPRODUCT(--(OFFSET($D16,1,0):OFFSET($D18,-1,0)="Y")*OFFSET($C16,1,0):OFFSET($C18,-1,0)*OFFSET(BO16,1,0):OFFSET(BO18,-1,0))-SUMPRODUCT(--(OFFSET($D16,1,0):OFFSET($D18,-1,0)="Y")*OFFSET($C16,1,0):OFFSET($C18,-1,0)*--(OFFSET($E16,1,0):OFFSET($E18,-1,0)=BO$4)*OFFSET($W16,1,0):OFFSET(BN18,-1,0))</f>
        <v>0</v>
      </c>
      <c r="BP61" s="68">
        <f ca="1">SUMPRODUCT(--(OFFSET($D16,1,0):OFFSET($D18,-1,0)="Y")*OFFSET($C16,1,0):OFFSET($C18,-1,0)*OFFSET(BP16,1,0):OFFSET(BP18,-1,0))-SUMPRODUCT(--(OFFSET($D16,1,0):OFFSET($D18,-1,0)="Y")*OFFSET($C16,1,0):OFFSET($C18,-1,0)*--(OFFSET($E16,1,0):OFFSET($E18,-1,0)=BP$4)*OFFSET($W16,1,0):OFFSET(BO18,-1,0))</f>
        <v>0</v>
      </c>
      <c r="BQ61" s="68">
        <f ca="1">SUMPRODUCT(--(OFFSET($D16,1,0):OFFSET($D18,-1,0)="Y")*OFFSET($C16,1,0):OFFSET($C18,-1,0)*OFFSET(BQ16,1,0):OFFSET(BQ18,-1,0))-SUMPRODUCT(--(OFFSET($D16,1,0):OFFSET($D18,-1,0)="Y")*OFFSET($C16,1,0):OFFSET($C18,-1,0)*--(OFFSET($E16,1,0):OFFSET($E18,-1,0)=BQ$4)*OFFSET($W16,1,0):OFFSET(BP18,-1,0))</f>
        <v>0</v>
      </c>
      <c r="BR61" s="68">
        <f ca="1">SUMPRODUCT(--(OFFSET($D16,1,0):OFFSET($D18,-1,0)="Y")*OFFSET($C16,1,0):OFFSET($C18,-1,0)*OFFSET(BR16,1,0):OFFSET(BR18,-1,0))-SUMPRODUCT(--(OFFSET($D16,1,0):OFFSET($D18,-1,0)="Y")*OFFSET($C16,1,0):OFFSET($C18,-1,0)*--(OFFSET($E16,1,0):OFFSET($E18,-1,0)=BR$4)*OFFSET($W16,1,0):OFFSET(BQ18,-1,0))</f>
        <v>0</v>
      </c>
      <c r="BS61" s="68">
        <f ca="1">SUMPRODUCT(--(OFFSET($D16,1,0):OFFSET($D18,-1,0)="Y")*OFFSET($C16,1,0):OFFSET($C18,-1,0)*OFFSET(BS16,1,0):OFFSET(BS18,-1,0))-SUMPRODUCT(--(OFFSET($D16,1,0):OFFSET($D18,-1,0)="Y")*OFFSET($C16,1,0):OFFSET($C18,-1,0)*--(OFFSET($E16,1,0):OFFSET($E18,-1,0)=BS$4)*OFFSET($W16,1,0):OFFSET(BR18,-1,0))</f>
        <v>0</v>
      </c>
    </row>
    <row r="62" spans="1:71" x14ac:dyDescent="0.2">
      <c r="A62" s="36" t="s">
        <v>41</v>
      </c>
      <c r="B62" s="37" t="s">
        <v>107</v>
      </c>
      <c r="G62" s="37" t="str">
        <f>$G$20</f>
        <v>R&amp;D Expenses</v>
      </c>
      <c r="V62" s="81">
        <f t="shared" ca="1" si="10"/>
        <v>0</v>
      </c>
      <c r="X62" s="68">
        <f ca="1">SUMPRODUCT(--(OFFSET($D20,1,0):OFFSET($D22,-1,0)="Y")*OFFSET($C20,1,0):OFFSET($C22,-1,0)*OFFSET(X20,1,0):OFFSET(X22,-1,0))-SUMPRODUCT(--(OFFSET($D20,1,0):OFFSET($D22,-1,0)="Y")*OFFSET($C20,1,0):OFFSET($C22,-1,0)*--(OFFSET($E20,1,0):OFFSET($E22,-1,0)=X$4)*OFFSET($W20,1,0):OFFSET(W22,-1,0))</f>
        <v>0</v>
      </c>
      <c r="Y62" s="68">
        <f ca="1">SUMPRODUCT(--(OFFSET($D20,1,0):OFFSET($D22,-1,0)="Y")*OFFSET($C20,1,0):OFFSET($C22,-1,0)*OFFSET(Y20,1,0):OFFSET(Y22,-1,0))-SUMPRODUCT(--(OFFSET($D20,1,0):OFFSET($D22,-1,0)="Y")*OFFSET($C20,1,0):OFFSET($C22,-1,0)*--(OFFSET($E20,1,0):OFFSET($E22,-1,0)=Y$4)*OFFSET($W20,1,0):OFFSET(X22,-1,0))</f>
        <v>0</v>
      </c>
      <c r="Z62" s="68">
        <f ca="1">SUMPRODUCT(--(OFFSET($D20,1,0):OFFSET($D22,-1,0)="Y")*OFFSET($C20,1,0):OFFSET($C22,-1,0)*OFFSET(Z20,1,0):OFFSET(Z22,-1,0))-SUMPRODUCT(--(OFFSET($D20,1,0):OFFSET($D22,-1,0)="Y")*OFFSET($C20,1,0):OFFSET($C22,-1,0)*--(OFFSET($E20,1,0):OFFSET($E22,-1,0)=Z$4)*OFFSET($W20,1,0):OFFSET(Y22,-1,0))</f>
        <v>0</v>
      </c>
      <c r="AA62" s="68">
        <f ca="1">SUMPRODUCT(--(OFFSET($D20,1,0):OFFSET($D22,-1,0)="Y")*OFFSET($C20,1,0):OFFSET($C22,-1,0)*OFFSET(AA20,1,0):OFFSET(AA22,-1,0))-SUMPRODUCT(--(OFFSET($D20,1,0):OFFSET($D22,-1,0)="Y")*OFFSET($C20,1,0):OFFSET($C22,-1,0)*--(OFFSET($E20,1,0):OFFSET($E22,-1,0)=AA$4)*OFFSET($W20,1,0):OFFSET(Z22,-1,0))</f>
        <v>0</v>
      </c>
      <c r="AB62" s="68">
        <f ca="1">SUMPRODUCT(--(OFFSET($D20,1,0):OFFSET($D22,-1,0)="Y")*OFFSET($C20,1,0):OFFSET($C22,-1,0)*OFFSET(AB20,1,0):OFFSET(AB22,-1,0))-SUMPRODUCT(--(OFFSET($D20,1,0):OFFSET($D22,-1,0)="Y")*OFFSET($C20,1,0):OFFSET($C22,-1,0)*--(OFFSET($E20,1,0):OFFSET($E22,-1,0)=AB$4)*OFFSET($W20,1,0):OFFSET(AA22,-1,0))</f>
        <v>0</v>
      </c>
      <c r="AC62" s="68">
        <f ca="1">SUMPRODUCT(--(OFFSET($D20,1,0):OFFSET($D22,-1,0)="Y")*OFFSET($C20,1,0):OFFSET($C22,-1,0)*OFFSET(AC20,1,0):OFFSET(AC22,-1,0))-SUMPRODUCT(--(OFFSET($D20,1,0):OFFSET($D22,-1,0)="Y")*OFFSET($C20,1,0):OFFSET($C22,-1,0)*--(OFFSET($E20,1,0):OFFSET($E22,-1,0)=AC$4)*OFFSET($W20,1,0):OFFSET(AB22,-1,0))</f>
        <v>0</v>
      </c>
      <c r="AD62" s="68">
        <f ca="1">SUMPRODUCT(--(OFFSET($D20,1,0):OFFSET($D22,-1,0)="Y")*OFFSET($C20,1,0):OFFSET($C22,-1,0)*OFFSET(AD20,1,0):OFFSET(AD22,-1,0))-SUMPRODUCT(--(OFFSET($D20,1,0):OFFSET($D22,-1,0)="Y")*OFFSET($C20,1,0):OFFSET($C22,-1,0)*--(OFFSET($E20,1,0):OFFSET($E22,-1,0)=AD$4)*OFFSET($W20,1,0):OFFSET(AC22,-1,0))</f>
        <v>0</v>
      </c>
      <c r="AE62" s="68">
        <f ca="1">SUMPRODUCT(--(OFFSET($D20,1,0):OFFSET($D22,-1,0)="Y")*OFFSET($C20,1,0):OFFSET($C22,-1,0)*OFFSET(AE20,1,0):OFFSET(AE22,-1,0))-SUMPRODUCT(--(OFFSET($D20,1,0):OFFSET($D22,-1,0)="Y")*OFFSET($C20,1,0):OFFSET($C22,-1,0)*--(OFFSET($E20,1,0):OFFSET($E22,-1,0)=AE$4)*OFFSET($W20,1,0):OFFSET(AD22,-1,0))</f>
        <v>0</v>
      </c>
      <c r="AF62" s="68">
        <f ca="1">SUMPRODUCT(--(OFFSET($D20,1,0):OFFSET($D22,-1,0)="Y")*OFFSET($C20,1,0):OFFSET($C22,-1,0)*OFFSET(AF20,1,0):OFFSET(AF22,-1,0))-SUMPRODUCT(--(OFFSET($D20,1,0):OFFSET($D22,-1,0)="Y")*OFFSET($C20,1,0):OFFSET($C22,-1,0)*--(OFFSET($E20,1,0):OFFSET($E22,-1,0)=AF$4)*OFFSET($W20,1,0):OFFSET(AE22,-1,0))</f>
        <v>0</v>
      </c>
      <c r="AG62" s="68">
        <f ca="1">SUMPRODUCT(--(OFFSET($D20,1,0):OFFSET($D22,-1,0)="Y")*OFFSET($C20,1,0):OFFSET($C22,-1,0)*OFFSET(AG20,1,0):OFFSET(AG22,-1,0))-SUMPRODUCT(--(OFFSET($D20,1,0):OFFSET($D22,-1,0)="Y")*OFFSET($C20,1,0):OFFSET($C22,-1,0)*--(OFFSET($E20,1,0):OFFSET($E22,-1,0)=AG$4)*OFFSET($W20,1,0):OFFSET(AF22,-1,0))</f>
        <v>0</v>
      </c>
      <c r="AH62" s="68">
        <f ca="1">SUMPRODUCT(--(OFFSET($D20,1,0):OFFSET($D22,-1,0)="Y")*OFFSET($C20,1,0):OFFSET($C22,-1,0)*OFFSET(AH20,1,0):OFFSET(AH22,-1,0))-SUMPRODUCT(--(OFFSET($D20,1,0):OFFSET($D22,-1,0)="Y")*OFFSET($C20,1,0):OFFSET($C22,-1,0)*--(OFFSET($E20,1,0):OFFSET($E22,-1,0)=AH$4)*OFFSET($W20,1,0):OFFSET(AG22,-1,0))</f>
        <v>0</v>
      </c>
      <c r="AI62" s="68">
        <f ca="1">SUMPRODUCT(--(OFFSET($D20,1,0):OFFSET($D22,-1,0)="Y")*OFFSET($C20,1,0):OFFSET($C22,-1,0)*OFFSET(AI20,1,0):OFFSET(AI22,-1,0))-SUMPRODUCT(--(OFFSET($D20,1,0):OFFSET($D22,-1,0)="Y")*OFFSET($C20,1,0):OFFSET($C22,-1,0)*--(OFFSET($E20,1,0):OFFSET($E22,-1,0)=AI$4)*OFFSET($W20,1,0):OFFSET(AH22,-1,0))</f>
        <v>0</v>
      </c>
      <c r="AJ62" s="68">
        <f ca="1">SUMPRODUCT(--(OFFSET($D20,1,0):OFFSET($D22,-1,0)="Y")*OFFSET($C20,1,0):OFFSET($C22,-1,0)*OFFSET(AJ20,1,0):OFFSET(AJ22,-1,0))-SUMPRODUCT(--(OFFSET($D20,1,0):OFFSET($D22,-1,0)="Y")*OFFSET($C20,1,0):OFFSET($C22,-1,0)*--(OFFSET($E20,1,0):OFFSET($E22,-1,0)=AJ$4)*OFFSET($W20,1,0):OFFSET(AI22,-1,0))</f>
        <v>0</v>
      </c>
      <c r="AK62" s="68">
        <f ca="1">SUMPRODUCT(--(OFFSET($D20,1,0):OFFSET($D22,-1,0)="Y")*OFFSET($C20,1,0):OFFSET($C22,-1,0)*OFFSET(AK20,1,0):OFFSET(AK22,-1,0))-SUMPRODUCT(--(OFFSET($D20,1,0):OFFSET($D22,-1,0)="Y")*OFFSET($C20,1,0):OFFSET($C22,-1,0)*--(OFFSET($E20,1,0):OFFSET($E22,-1,0)=AK$4)*OFFSET($W20,1,0):OFFSET(AJ22,-1,0))</f>
        <v>0</v>
      </c>
      <c r="AL62" s="68">
        <f ca="1">SUMPRODUCT(--(OFFSET($D20,1,0):OFFSET($D22,-1,0)="Y")*OFFSET($C20,1,0):OFFSET($C22,-1,0)*OFFSET(AL20,1,0):OFFSET(AL22,-1,0))-SUMPRODUCT(--(OFFSET($D20,1,0):OFFSET($D22,-1,0)="Y")*OFFSET($C20,1,0):OFFSET($C22,-1,0)*--(OFFSET($E20,1,0):OFFSET($E22,-1,0)=AL$4)*OFFSET($W20,1,0):OFFSET(AK22,-1,0))</f>
        <v>0</v>
      </c>
      <c r="AM62" s="68">
        <f ca="1">SUMPRODUCT(--(OFFSET($D20,1,0):OFFSET($D22,-1,0)="Y")*OFFSET($C20,1,0):OFFSET($C22,-1,0)*OFFSET(AM20,1,0):OFFSET(AM22,-1,0))-SUMPRODUCT(--(OFFSET($D20,1,0):OFFSET($D22,-1,0)="Y")*OFFSET($C20,1,0):OFFSET($C22,-1,0)*--(OFFSET($E20,1,0):OFFSET($E22,-1,0)=AM$4)*OFFSET($W20,1,0):OFFSET(AL22,-1,0))</f>
        <v>0</v>
      </c>
      <c r="AN62" s="68">
        <f ca="1">SUMPRODUCT(--(OFFSET($D20,1,0):OFFSET($D22,-1,0)="Y")*OFFSET($C20,1,0):OFFSET($C22,-1,0)*OFFSET(AN20,1,0):OFFSET(AN22,-1,0))-SUMPRODUCT(--(OFFSET($D20,1,0):OFFSET($D22,-1,0)="Y")*OFFSET($C20,1,0):OFFSET($C22,-1,0)*--(OFFSET($E20,1,0):OFFSET($E22,-1,0)=AN$4)*OFFSET($W20,1,0):OFFSET(AM22,-1,0))</f>
        <v>0</v>
      </c>
      <c r="AO62" s="68">
        <f ca="1">SUMPRODUCT(--(OFFSET($D20,1,0):OFFSET($D22,-1,0)="Y")*OFFSET($C20,1,0):OFFSET($C22,-1,0)*OFFSET(AO20,1,0):OFFSET(AO22,-1,0))-SUMPRODUCT(--(OFFSET($D20,1,0):OFFSET($D22,-1,0)="Y")*OFFSET($C20,1,0):OFFSET($C22,-1,0)*--(OFFSET($E20,1,0):OFFSET($E22,-1,0)=AO$4)*OFFSET($W20,1,0):OFFSET(AN22,-1,0))</f>
        <v>0</v>
      </c>
      <c r="AP62" s="68">
        <f ca="1">SUMPRODUCT(--(OFFSET($D20,1,0):OFFSET($D22,-1,0)="Y")*OFFSET($C20,1,0):OFFSET($C22,-1,0)*OFFSET(AP20,1,0):OFFSET(AP22,-1,0))-SUMPRODUCT(--(OFFSET($D20,1,0):OFFSET($D22,-1,0)="Y")*OFFSET($C20,1,0):OFFSET($C22,-1,0)*--(OFFSET($E20,1,0):OFFSET($E22,-1,0)=AP$4)*OFFSET($W20,1,0):OFFSET(AO22,-1,0))</f>
        <v>0</v>
      </c>
      <c r="AQ62" s="68">
        <f ca="1">SUMPRODUCT(--(OFFSET($D20,1,0):OFFSET($D22,-1,0)="Y")*OFFSET($C20,1,0):OFFSET($C22,-1,0)*OFFSET(AQ20,1,0):OFFSET(AQ22,-1,0))-SUMPRODUCT(--(OFFSET($D20,1,0):OFFSET($D22,-1,0)="Y")*OFFSET($C20,1,0):OFFSET($C22,-1,0)*--(OFFSET($E20,1,0):OFFSET($E22,-1,0)=AQ$4)*OFFSET($W20,1,0):OFFSET(AP22,-1,0))</f>
        <v>0</v>
      </c>
      <c r="AR62" s="68">
        <f ca="1">SUMPRODUCT(--(OFFSET($D20,1,0):OFFSET($D22,-1,0)="Y")*OFFSET($C20,1,0):OFFSET($C22,-1,0)*OFFSET(AR20,1,0):OFFSET(AR22,-1,0))-SUMPRODUCT(--(OFFSET($D20,1,0):OFFSET($D22,-1,0)="Y")*OFFSET($C20,1,0):OFFSET($C22,-1,0)*--(OFFSET($E20,1,0):OFFSET($E22,-1,0)=AR$4)*OFFSET($W20,1,0):OFFSET(AQ22,-1,0))</f>
        <v>0</v>
      </c>
      <c r="AS62" s="68">
        <f ca="1">SUMPRODUCT(--(OFFSET($D20,1,0):OFFSET($D22,-1,0)="Y")*OFFSET($C20,1,0):OFFSET($C22,-1,0)*OFFSET(AS20,1,0):OFFSET(AS22,-1,0))-SUMPRODUCT(--(OFFSET($D20,1,0):OFFSET($D22,-1,0)="Y")*OFFSET($C20,1,0):OFFSET($C22,-1,0)*--(OFFSET($E20,1,0):OFFSET($E22,-1,0)=AS$4)*OFFSET($W20,1,0):OFFSET(AR22,-1,0))</f>
        <v>0</v>
      </c>
      <c r="AT62" s="68">
        <f ca="1">SUMPRODUCT(--(OFFSET($D20,1,0):OFFSET($D22,-1,0)="Y")*OFFSET($C20,1,0):OFFSET($C22,-1,0)*OFFSET(AT20,1,0):OFFSET(AT22,-1,0))-SUMPRODUCT(--(OFFSET($D20,1,0):OFFSET($D22,-1,0)="Y")*OFFSET($C20,1,0):OFFSET($C22,-1,0)*--(OFFSET($E20,1,0):OFFSET($E22,-1,0)=AT$4)*OFFSET($W20,1,0):OFFSET(AS22,-1,0))</f>
        <v>0</v>
      </c>
      <c r="AU62" s="68">
        <f ca="1">SUMPRODUCT(--(OFFSET($D20,1,0):OFFSET($D22,-1,0)="Y")*OFFSET($C20,1,0):OFFSET($C22,-1,0)*OFFSET(AU20,1,0):OFFSET(AU22,-1,0))-SUMPRODUCT(--(OFFSET($D20,1,0):OFFSET($D22,-1,0)="Y")*OFFSET($C20,1,0):OFFSET($C22,-1,0)*--(OFFSET($E20,1,0):OFFSET($E22,-1,0)=AU$4)*OFFSET($W20,1,0):OFFSET(AT22,-1,0))</f>
        <v>0</v>
      </c>
      <c r="AV62" s="68">
        <f ca="1">SUMPRODUCT(--(OFFSET($D20,1,0):OFFSET($D22,-1,0)="Y")*OFFSET($C20,1,0):OFFSET($C22,-1,0)*OFFSET(AV20,1,0):OFFSET(AV22,-1,0))-SUMPRODUCT(--(OFFSET($D20,1,0):OFFSET($D22,-1,0)="Y")*OFFSET($C20,1,0):OFFSET($C22,-1,0)*--(OFFSET($E20,1,0):OFFSET($E22,-1,0)=AV$4)*OFFSET($W20,1,0):OFFSET(AU22,-1,0))</f>
        <v>0</v>
      </c>
      <c r="AW62" s="68">
        <f ca="1">SUMPRODUCT(--(OFFSET($D20,1,0):OFFSET($D22,-1,0)="Y")*OFFSET($C20,1,0):OFFSET($C22,-1,0)*OFFSET(AW20,1,0):OFFSET(AW22,-1,0))-SUMPRODUCT(--(OFFSET($D20,1,0):OFFSET($D22,-1,0)="Y")*OFFSET($C20,1,0):OFFSET($C22,-1,0)*--(OFFSET($E20,1,0):OFFSET($E22,-1,0)=AW$4)*OFFSET($W20,1,0):OFFSET(AV22,-1,0))</f>
        <v>0</v>
      </c>
      <c r="AX62" s="68">
        <f ca="1">SUMPRODUCT(--(OFFSET($D20,1,0):OFFSET($D22,-1,0)="Y")*OFFSET($C20,1,0):OFFSET($C22,-1,0)*OFFSET(AX20,1,0):OFFSET(AX22,-1,0))-SUMPRODUCT(--(OFFSET($D20,1,0):OFFSET($D22,-1,0)="Y")*OFFSET($C20,1,0):OFFSET($C22,-1,0)*--(OFFSET($E20,1,0):OFFSET($E22,-1,0)=AX$4)*OFFSET($W20,1,0):OFFSET(AW22,-1,0))</f>
        <v>0</v>
      </c>
      <c r="AY62" s="68">
        <f ca="1">SUMPRODUCT(--(OFFSET($D20,1,0):OFFSET($D22,-1,0)="Y")*OFFSET($C20,1,0):OFFSET($C22,-1,0)*OFFSET(AY20,1,0):OFFSET(AY22,-1,0))-SUMPRODUCT(--(OFFSET($D20,1,0):OFFSET($D22,-1,0)="Y")*OFFSET($C20,1,0):OFFSET($C22,-1,0)*--(OFFSET($E20,1,0):OFFSET($E22,-1,0)=AY$4)*OFFSET($W20,1,0):OFFSET(AX22,-1,0))</f>
        <v>0</v>
      </c>
      <c r="AZ62" s="68">
        <f ca="1">SUMPRODUCT(--(OFFSET($D20,1,0):OFFSET($D22,-1,0)="Y")*OFFSET($C20,1,0):OFFSET($C22,-1,0)*OFFSET(AZ20,1,0):OFFSET(AZ22,-1,0))-SUMPRODUCT(--(OFFSET($D20,1,0):OFFSET($D22,-1,0)="Y")*OFFSET($C20,1,0):OFFSET($C22,-1,0)*--(OFFSET($E20,1,0):OFFSET($E22,-1,0)=AZ$4)*OFFSET($W20,1,0):OFFSET(AY22,-1,0))</f>
        <v>0</v>
      </c>
      <c r="BA62" s="68">
        <f ca="1">SUMPRODUCT(--(OFFSET($D20,1,0):OFFSET($D22,-1,0)="Y")*OFFSET($C20,1,0):OFFSET($C22,-1,0)*OFFSET(BA20,1,0):OFFSET(BA22,-1,0))-SUMPRODUCT(--(OFFSET($D20,1,0):OFFSET($D22,-1,0)="Y")*OFFSET($C20,1,0):OFFSET($C22,-1,0)*--(OFFSET($E20,1,0):OFFSET($E22,-1,0)=BA$4)*OFFSET($W20,1,0):OFFSET(AZ22,-1,0))</f>
        <v>0</v>
      </c>
      <c r="BB62" s="68">
        <f ca="1">SUMPRODUCT(--(OFFSET($D20,1,0):OFFSET($D22,-1,0)="Y")*OFFSET($C20,1,0):OFFSET($C22,-1,0)*OFFSET(BB20,1,0):OFFSET(BB22,-1,0))-SUMPRODUCT(--(OFFSET($D20,1,0):OFFSET($D22,-1,0)="Y")*OFFSET($C20,1,0):OFFSET($C22,-1,0)*--(OFFSET($E20,1,0):OFFSET($E22,-1,0)=BB$4)*OFFSET($W20,1,0):OFFSET(BA22,-1,0))</f>
        <v>0</v>
      </c>
      <c r="BC62" s="68">
        <f ca="1">SUMPRODUCT(--(OFFSET($D20,1,0):OFFSET($D22,-1,0)="Y")*OFFSET($C20,1,0):OFFSET($C22,-1,0)*OFFSET(BC20,1,0):OFFSET(BC22,-1,0))-SUMPRODUCT(--(OFFSET($D20,1,0):OFFSET($D22,-1,0)="Y")*OFFSET($C20,1,0):OFFSET($C22,-1,0)*--(OFFSET($E20,1,0):OFFSET($E22,-1,0)=BC$4)*OFFSET($W20,1,0):OFFSET(BB22,-1,0))</f>
        <v>0</v>
      </c>
      <c r="BD62" s="68">
        <f ca="1">SUMPRODUCT(--(OFFSET($D20,1,0):OFFSET($D22,-1,0)="Y")*OFFSET($C20,1,0):OFFSET($C22,-1,0)*OFFSET(BD20,1,0):OFFSET(BD22,-1,0))-SUMPRODUCT(--(OFFSET($D20,1,0):OFFSET($D22,-1,0)="Y")*OFFSET($C20,1,0):OFFSET($C22,-1,0)*--(OFFSET($E20,1,0):OFFSET($E22,-1,0)=BD$4)*OFFSET($W20,1,0):OFFSET(BC22,-1,0))</f>
        <v>0</v>
      </c>
      <c r="BE62" s="68">
        <f ca="1">SUMPRODUCT(--(OFFSET($D20,1,0):OFFSET($D22,-1,0)="Y")*OFFSET($C20,1,0):OFFSET($C22,-1,0)*OFFSET(BE20,1,0):OFFSET(BE22,-1,0))-SUMPRODUCT(--(OFFSET($D20,1,0):OFFSET($D22,-1,0)="Y")*OFFSET($C20,1,0):OFFSET($C22,-1,0)*--(OFFSET($E20,1,0):OFFSET($E22,-1,0)=BE$4)*OFFSET($W20,1,0):OFFSET(BD22,-1,0))</f>
        <v>0</v>
      </c>
      <c r="BF62" s="68">
        <f ca="1">SUMPRODUCT(--(OFFSET($D20,1,0):OFFSET($D22,-1,0)="Y")*OFFSET($C20,1,0):OFFSET($C22,-1,0)*OFFSET(BF20,1,0):OFFSET(BF22,-1,0))-SUMPRODUCT(--(OFFSET($D20,1,0):OFFSET($D22,-1,0)="Y")*OFFSET($C20,1,0):OFFSET($C22,-1,0)*--(OFFSET($E20,1,0):OFFSET($E22,-1,0)=BF$4)*OFFSET($W20,1,0):OFFSET(BE22,-1,0))</f>
        <v>0</v>
      </c>
      <c r="BG62" s="68">
        <f ca="1">SUMPRODUCT(--(OFFSET($D20,1,0):OFFSET($D22,-1,0)="Y")*OFFSET($C20,1,0):OFFSET($C22,-1,0)*OFFSET(BG20,1,0):OFFSET(BG22,-1,0))-SUMPRODUCT(--(OFFSET($D20,1,0):OFFSET($D22,-1,0)="Y")*OFFSET($C20,1,0):OFFSET($C22,-1,0)*--(OFFSET($E20,1,0):OFFSET($E22,-1,0)=BG$4)*OFFSET($W20,1,0):OFFSET(BF22,-1,0))</f>
        <v>0</v>
      </c>
      <c r="BH62" s="68">
        <f ca="1">SUMPRODUCT(--(OFFSET($D20,1,0):OFFSET($D22,-1,0)="Y")*OFFSET($C20,1,0):OFFSET($C22,-1,0)*OFFSET(BH20,1,0):OFFSET(BH22,-1,0))-SUMPRODUCT(--(OFFSET($D20,1,0):OFFSET($D22,-1,0)="Y")*OFFSET($C20,1,0):OFFSET($C22,-1,0)*--(OFFSET($E20,1,0):OFFSET($E22,-1,0)=BH$4)*OFFSET($W20,1,0):OFFSET(BG22,-1,0))</f>
        <v>0</v>
      </c>
      <c r="BI62" s="68">
        <f ca="1">SUMPRODUCT(--(OFFSET($D20,1,0):OFFSET($D22,-1,0)="Y")*OFFSET($C20,1,0):OFFSET($C22,-1,0)*OFFSET(BI20,1,0):OFFSET(BI22,-1,0))-SUMPRODUCT(--(OFFSET($D20,1,0):OFFSET($D22,-1,0)="Y")*OFFSET($C20,1,0):OFFSET($C22,-1,0)*--(OFFSET($E20,1,0):OFFSET($E22,-1,0)=BI$4)*OFFSET($W20,1,0):OFFSET(BH22,-1,0))</f>
        <v>0</v>
      </c>
      <c r="BJ62" s="68">
        <f ca="1">SUMPRODUCT(--(OFFSET($D20,1,0):OFFSET($D22,-1,0)="Y")*OFFSET($C20,1,0):OFFSET($C22,-1,0)*OFFSET(BJ20,1,0):OFFSET(BJ22,-1,0))-SUMPRODUCT(--(OFFSET($D20,1,0):OFFSET($D22,-1,0)="Y")*OFFSET($C20,1,0):OFFSET($C22,-1,0)*--(OFFSET($E20,1,0):OFFSET($E22,-1,0)=BJ$4)*OFFSET($W20,1,0):OFFSET(BI22,-1,0))</f>
        <v>0</v>
      </c>
      <c r="BK62" s="68">
        <f ca="1">SUMPRODUCT(--(OFFSET($D20,1,0):OFFSET($D22,-1,0)="Y")*OFFSET($C20,1,0):OFFSET($C22,-1,0)*OFFSET(BK20,1,0):OFFSET(BK22,-1,0))-SUMPRODUCT(--(OFFSET($D20,1,0):OFFSET($D22,-1,0)="Y")*OFFSET($C20,1,0):OFFSET($C22,-1,0)*--(OFFSET($E20,1,0):OFFSET($E22,-1,0)=BK$4)*OFFSET($W20,1,0):OFFSET(BJ22,-1,0))</f>
        <v>0</v>
      </c>
      <c r="BL62" s="68">
        <f ca="1">SUMPRODUCT(--(OFFSET($D20,1,0):OFFSET($D22,-1,0)="Y")*OFFSET($C20,1,0):OFFSET($C22,-1,0)*OFFSET(BL20,1,0):OFFSET(BL22,-1,0))-SUMPRODUCT(--(OFFSET($D20,1,0):OFFSET($D22,-1,0)="Y")*OFFSET($C20,1,0):OFFSET($C22,-1,0)*--(OFFSET($E20,1,0):OFFSET($E22,-1,0)=BL$4)*OFFSET($W20,1,0):OFFSET(BK22,-1,0))</f>
        <v>0</v>
      </c>
      <c r="BM62" s="68">
        <f ca="1">SUMPRODUCT(--(OFFSET($D20,1,0):OFFSET($D22,-1,0)="Y")*OFFSET($C20,1,0):OFFSET($C22,-1,0)*OFFSET(BM20,1,0):OFFSET(BM22,-1,0))-SUMPRODUCT(--(OFFSET($D20,1,0):OFFSET($D22,-1,0)="Y")*OFFSET($C20,1,0):OFFSET($C22,-1,0)*--(OFFSET($E20,1,0):OFFSET($E22,-1,0)=BM$4)*OFFSET($W20,1,0):OFFSET(BL22,-1,0))</f>
        <v>0</v>
      </c>
      <c r="BN62" s="68">
        <f ca="1">SUMPRODUCT(--(OFFSET($D20,1,0):OFFSET($D22,-1,0)="Y")*OFFSET($C20,1,0):OFFSET($C22,-1,0)*OFFSET(BN20,1,0):OFFSET(BN22,-1,0))-SUMPRODUCT(--(OFFSET($D20,1,0):OFFSET($D22,-1,0)="Y")*OFFSET($C20,1,0):OFFSET($C22,-1,0)*--(OFFSET($E20,1,0):OFFSET($E22,-1,0)=BN$4)*OFFSET($W20,1,0):OFFSET(BM22,-1,0))</f>
        <v>0</v>
      </c>
      <c r="BO62" s="68">
        <f ca="1">SUMPRODUCT(--(OFFSET($D20,1,0):OFFSET($D22,-1,0)="Y")*OFFSET($C20,1,0):OFFSET($C22,-1,0)*OFFSET(BO20,1,0):OFFSET(BO22,-1,0))-SUMPRODUCT(--(OFFSET($D20,1,0):OFFSET($D22,-1,0)="Y")*OFFSET($C20,1,0):OFFSET($C22,-1,0)*--(OFFSET($E20,1,0):OFFSET($E22,-1,0)=BO$4)*OFFSET($W20,1,0):OFFSET(BN22,-1,0))</f>
        <v>0</v>
      </c>
      <c r="BP62" s="68">
        <f ca="1">SUMPRODUCT(--(OFFSET($D20,1,0):OFFSET($D22,-1,0)="Y")*OFFSET($C20,1,0):OFFSET($C22,-1,0)*OFFSET(BP20,1,0):OFFSET(BP22,-1,0))-SUMPRODUCT(--(OFFSET($D20,1,0):OFFSET($D22,-1,0)="Y")*OFFSET($C20,1,0):OFFSET($C22,-1,0)*--(OFFSET($E20,1,0):OFFSET($E22,-1,0)=BP$4)*OFFSET($W20,1,0):OFFSET(BO22,-1,0))</f>
        <v>0</v>
      </c>
      <c r="BQ62" s="68">
        <f ca="1">SUMPRODUCT(--(OFFSET($D20,1,0):OFFSET($D22,-1,0)="Y")*OFFSET($C20,1,0):OFFSET($C22,-1,0)*OFFSET(BQ20,1,0):OFFSET(BQ22,-1,0))-SUMPRODUCT(--(OFFSET($D20,1,0):OFFSET($D22,-1,0)="Y")*OFFSET($C20,1,0):OFFSET($C22,-1,0)*--(OFFSET($E20,1,0):OFFSET($E22,-1,0)=BQ$4)*OFFSET($W20,1,0):OFFSET(BP22,-1,0))</f>
        <v>0</v>
      </c>
      <c r="BR62" s="68">
        <f ca="1">SUMPRODUCT(--(OFFSET($D20,1,0):OFFSET($D22,-1,0)="Y")*OFFSET($C20,1,0):OFFSET($C22,-1,0)*OFFSET(BR20,1,0):OFFSET(BR22,-1,0))-SUMPRODUCT(--(OFFSET($D20,1,0):OFFSET($D22,-1,0)="Y")*OFFSET($C20,1,0):OFFSET($C22,-1,0)*--(OFFSET($E20,1,0):OFFSET($E22,-1,0)=BR$4)*OFFSET($W20,1,0):OFFSET(BQ22,-1,0))</f>
        <v>0</v>
      </c>
      <c r="BS62" s="68">
        <f ca="1">SUMPRODUCT(--(OFFSET($D20,1,0):OFFSET($D22,-1,0)="Y")*OFFSET($C20,1,0):OFFSET($C22,-1,0)*OFFSET(BS20,1,0):OFFSET(BS22,-1,0))-SUMPRODUCT(--(OFFSET($D20,1,0):OFFSET($D22,-1,0)="Y")*OFFSET($C20,1,0):OFFSET($C22,-1,0)*--(OFFSET($E20,1,0):OFFSET($E22,-1,0)=BS$4)*OFFSET($W20,1,0):OFFSET(BR22,-1,0))</f>
        <v>0</v>
      </c>
    </row>
    <row r="63" spans="1:71" x14ac:dyDescent="0.2">
      <c r="A63" s="36" t="s">
        <v>41</v>
      </c>
      <c r="B63" s="37" t="s">
        <v>108</v>
      </c>
      <c r="G63" s="37" t="str">
        <f>$G$24</f>
        <v>Technical Expenses</v>
      </c>
      <c r="V63" s="81">
        <f t="shared" ca="1" si="10"/>
        <v>142500</v>
      </c>
      <c r="X63" s="68">
        <f ca="1">SUMPRODUCT(--(OFFSET($D24,1,0):OFFSET($D28,-1,0)="Y")*OFFSET($C24,1,0):OFFSET($C28,-1,0)*OFFSET(X24,1,0):OFFSET(X28,-1,0))-SUMPRODUCT(--(OFFSET($D24,1,0):OFFSET($D28,-1,0)="Y")*OFFSET($C24,1,0):OFFSET($C28,-1,0)*--(OFFSET($E24,1,0):OFFSET($E28,-1,0)=X$4)*OFFSET($W24,1,0):OFFSET(W28,-1,0))</f>
        <v>0</v>
      </c>
      <c r="Y63" s="68">
        <f ca="1">SUMPRODUCT(--(OFFSET($D24,1,0):OFFSET($D28,-1,0)="Y")*OFFSET($C24,1,0):OFFSET($C28,-1,0)*OFFSET(Y24,1,0):OFFSET(Y28,-1,0))-SUMPRODUCT(--(OFFSET($D24,1,0):OFFSET($D28,-1,0)="Y")*OFFSET($C24,1,0):OFFSET($C28,-1,0)*--(OFFSET($E24,1,0):OFFSET($E28,-1,0)=Y$4)*OFFSET($W24,1,0):OFFSET(X28,-1,0))</f>
        <v>0</v>
      </c>
      <c r="Z63" s="68">
        <f ca="1">SUMPRODUCT(--(OFFSET($D24,1,0):OFFSET($D28,-1,0)="Y")*OFFSET($C24,1,0):OFFSET($C28,-1,0)*OFFSET(Z24,1,0):OFFSET(Z28,-1,0))-SUMPRODUCT(--(OFFSET($D24,1,0):OFFSET($D28,-1,0)="Y")*OFFSET($C24,1,0):OFFSET($C28,-1,0)*--(OFFSET($E24,1,0):OFFSET($E28,-1,0)=Z$4)*OFFSET($W24,1,0):OFFSET(Y28,-1,0))</f>
        <v>0</v>
      </c>
      <c r="AA63" s="68">
        <f ca="1">SUMPRODUCT(--(OFFSET($D24,1,0):OFFSET($D28,-1,0)="Y")*OFFSET($C24,1,0):OFFSET($C28,-1,0)*OFFSET(AA24,1,0):OFFSET(AA28,-1,0))-SUMPRODUCT(--(OFFSET($D24,1,0):OFFSET($D28,-1,0)="Y")*OFFSET($C24,1,0):OFFSET($C28,-1,0)*--(OFFSET($E24,1,0):OFFSET($E28,-1,0)=AA$4)*OFFSET($W24,1,0):OFFSET(Z28,-1,0))</f>
        <v>0</v>
      </c>
      <c r="AB63" s="68">
        <f ca="1">SUMPRODUCT(--(OFFSET($D24,1,0):OFFSET($D28,-1,0)="Y")*OFFSET($C24,1,0):OFFSET($C28,-1,0)*OFFSET(AB24,1,0):OFFSET(AB28,-1,0))-SUMPRODUCT(--(OFFSET($D24,1,0):OFFSET($D28,-1,0)="Y")*OFFSET($C24,1,0):OFFSET($C28,-1,0)*--(OFFSET($E24,1,0):OFFSET($E28,-1,0)=AB$4)*OFFSET($W24,1,0):OFFSET(AA28,-1,0))</f>
        <v>4398.3778692313681</v>
      </c>
      <c r="AC63" s="68">
        <f ca="1">SUMPRODUCT(--(OFFSET($D24,1,0):OFFSET($D28,-1,0)="Y")*OFFSET($C24,1,0):OFFSET($C28,-1,0)*OFFSET(AC24,1,0):OFFSET(AC28,-1,0))-SUMPRODUCT(--(OFFSET($D24,1,0):OFFSET($D28,-1,0)="Y")*OFFSET($C24,1,0):OFFSET($C28,-1,0)*--(OFFSET($E24,1,0):OFFSET($E28,-1,0)=AC$4)*OFFSET($W24,1,0):OFFSET(AB28,-1,0))</f>
        <v>5282.0456175421796</v>
      </c>
      <c r="AD63" s="68">
        <f ca="1">SUMPRODUCT(--(OFFSET($D24,1,0):OFFSET($D28,-1,0)="Y")*OFFSET($C24,1,0):OFFSET($C28,-1,0)*OFFSET(AD24,1,0):OFFSET(AD28,-1,0))-SUMPRODUCT(--(OFFSET($D24,1,0):OFFSET($D28,-1,0)="Y")*OFFSET($C24,1,0):OFFSET($C28,-1,0)*--(OFFSET($E24,1,0):OFFSET($E28,-1,0)=AD$4)*OFFSET($W24,1,0):OFFSET(AC28,-1,0))</f>
        <v>6243.7181122607026</v>
      </c>
      <c r="AE63" s="68">
        <f ca="1">SUMPRODUCT(--(OFFSET($D24,1,0):OFFSET($D28,-1,0)="Y")*OFFSET($C24,1,0):OFFSET($C28,-1,0)*OFFSET(AE24,1,0):OFFSET(AE28,-1,0))-SUMPRODUCT(--(OFFSET($D24,1,0):OFFSET($D28,-1,0)="Y")*OFFSET($C24,1,0):OFFSET($C28,-1,0)*--(OFFSET($E24,1,0):OFFSET($E28,-1,0)=AE$4)*OFFSET($W24,1,0):OFFSET(AD28,-1,0))</f>
        <v>7243.9769305946011</v>
      </c>
      <c r="AF63" s="68">
        <f ca="1">SUMPRODUCT(--(OFFSET($D24,1,0):OFFSET($D28,-1,0)="Y")*OFFSET($C24,1,0):OFFSET($C28,-1,0)*OFFSET(AF24,1,0):OFFSET(AF28,-1,0))-SUMPRODUCT(--(OFFSET($D24,1,0):OFFSET($D28,-1,0)="Y")*OFFSET($C24,1,0):OFFSET($C28,-1,0)*--(OFFSET($E24,1,0):OFFSET($E28,-1,0)=AF$4)*OFFSET($W24,1,0):OFFSET(AE28,-1,0))</f>
        <v>8224.6720703486644</v>
      </c>
      <c r="AG63" s="68">
        <f ca="1">SUMPRODUCT(--(OFFSET($D24,1,0):OFFSET($D28,-1,0)="Y")*OFFSET($C24,1,0):OFFSET($C28,-1,0)*OFFSET(AG24,1,0):OFFSET(AG28,-1,0))-SUMPRODUCT(--(OFFSET($D24,1,0):OFFSET($D28,-1,0)="Y")*OFFSET($C24,1,0):OFFSET($C28,-1,0)*--(OFFSET($E24,1,0):OFFSET($E28,-1,0)=AG$4)*OFFSET($W24,1,0):OFFSET(AF28,-1,0))</f>
        <v>9111.960434115339</v>
      </c>
      <c r="AH63" s="68">
        <f ca="1">SUMPRODUCT(--(OFFSET($D24,1,0):OFFSET($D28,-1,0)="Y")*OFFSET($C24,1,0):OFFSET($C28,-1,0)*OFFSET(AH24,1,0):OFFSET(AH28,-1,0))-SUMPRODUCT(--(OFFSET($D24,1,0):OFFSET($D28,-1,0)="Y")*OFFSET($C24,1,0):OFFSET($C28,-1,0)*--(OFFSET($E24,1,0):OFFSET($E28,-1,0)=AH$4)*OFFSET($W24,1,0):OFFSET(AG28,-1,0))</f>
        <v>9824.7941003386841</v>
      </c>
      <c r="AI63" s="68">
        <f ca="1">SUMPRODUCT(--(OFFSET($D24,1,0):OFFSET($D28,-1,0)="Y")*OFFSET($C24,1,0):OFFSET($C28,-1,0)*OFFSET(AI24,1,0):OFFSET(AI28,-1,0))-SUMPRODUCT(--(OFFSET($D24,1,0):OFFSET($D28,-1,0)="Y")*OFFSET($C24,1,0):OFFSET($C28,-1,0)*--(OFFSET($E24,1,0):OFFSET($E28,-1,0)=AI$4)*OFFSET($W24,1,0):OFFSET(AH28,-1,0))</f>
        <v>10288.336179177268</v>
      </c>
      <c r="AJ63" s="68">
        <f ca="1">SUMPRODUCT(--(OFFSET($D24,1,0):OFFSET($D28,-1,0)="Y")*OFFSET($C24,1,0):OFFSET($C28,-1,0)*OFFSET(AJ24,1,0):OFFSET(AJ28,-1,0))-SUMPRODUCT(--(OFFSET($D24,1,0):OFFSET($D28,-1,0)="Y")*OFFSET($C24,1,0):OFFSET($C28,-1,0)*--(OFFSET($E24,1,0):OFFSET($E28,-1,0)=AJ$4)*OFFSET($W24,1,0):OFFSET(AI28,-1,0))</f>
        <v>10449.300857761868</v>
      </c>
      <c r="AK63" s="68">
        <f ca="1">SUMPRODUCT(--(OFFSET($D24,1,0):OFFSET($D28,-1,0)="Y")*OFFSET($C24,1,0):OFFSET($C28,-1,0)*OFFSET(AK24,1,0):OFFSET(AK28,-1,0))-SUMPRODUCT(--(OFFSET($D24,1,0):OFFSET($D28,-1,0)="Y")*OFFSET($C24,1,0):OFFSET($C28,-1,0)*--(OFFSET($E24,1,0):OFFSET($E28,-1,0)=AK$4)*OFFSET($W24,1,0):OFFSET(AJ28,-1,0))</f>
        <v>10288.336179177244</v>
      </c>
      <c r="AL63" s="68">
        <f ca="1">SUMPRODUCT(--(OFFSET($D24,1,0):OFFSET($D28,-1,0)="Y")*OFFSET($C24,1,0):OFFSET($C28,-1,0)*OFFSET(AL24,1,0):OFFSET(AL28,-1,0))-SUMPRODUCT(--(OFFSET($D24,1,0):OFFSET($D28,-1,0)="Y")*OFFSET($C24,1,0):OFFSET($C28,-1,0)*--(OFFSET($E24,1,0):OFFSET($E28,-1,0)=AL$4)*OFFSET($W24,1,0):OFFSET(AK28,-1,0))</f>
        <v>9824.7941003387059</v>
      </c>
      <c r="AM63" s="68">
        <f ca="1">SUMPRODUCT(--(OFFSET($D24,1,0):OFFSET($D28,-1,0)="Y")*OFFSET($C24,1,0):OFFSET($C28,-1,0)*OFFSET(AM24,1,0):OFFSET(AM28,-1,0))-SUMPRODUCT(--(OFFSET($D24,1,0):OFFSET($D28,-1,0)="Y")*OFFSET($C24,1,0):OFFSET($C28,-1,0)*--(OFFSET($E24,1,0):OFFSET($E28,-1,0)=AM$4)*OFFSET($W24,1,0):OFFSET(AL28,-1,0))</f>
        <v>9111.9604341153226</v>
      </c>
      <c r="AN63" s="68">
        <f ca="1">SUMPRODUCT(--(OFFSET($D24,1,0):OFFSET($D28,-1,0)="Y")*OFFSET($C24,1,0):OFFSET($C28,-1,0)*OFFSET(AN24,1,0):OFFSET(AN28,-1,0))-SUMPRODUCT(--(OFFSET($D24,1,0):OFFSET($D28,-1,0)="Y")*OFFSET($C24,1,0):OFFSET($C28,-1,0)*--(OFFSET($E24,1,0):OFFSET($E28,-1,0)=AN$4)*OFFSET($W24,1,0):OFFSET(AM28,-1,0))</f>
        <v>8224.6720703486662</v>
      </c>
      <c r="AO63" s="68">
        <f ca="1">SUMPRODUCT(--(OFFSET($D24,1,0):OFFSET($D28,-1,0)="Y")*OFFSET($C24,1,0):OFFSET($C28,-1,0)*OFFSET(AO24,1,0):OFFSET(AO28,-1,0))-SUMPRODUCT(--(OFFSET($D24,1,0):OFFSET($D28,-1,0)="Y")*OFFSET($C24,1,0):OFFSET($C28,-1,0)*--(OFFSET($E24,1,0):OFFSET($E28,-1,0)=AO$4)*OFFSET($W24,1,0):OFFSET(AN28,-1,0))</f>
        <v>7243.976930594632</v>
      </c>
      <c r="AP63" s="68">
        <f ca="1">SUMPRODUCT(--(OFFSET($D24,1,0):OFFSET($D28,-1,0)="Y")*OFFSET($C24,1,0):OFFSET($C28,-1,0)*OFFSET(AP24,1,0):OFFSET(AP28,-1,0))-SUMPRODUCT(--(OFFSET($D24,1,0):OFFSET($D28,-1,0)="Y")*OFFSET($C24,1,0):OFFSET($C28,-1,0)*--(OFFSET($E24,1,0):OFFSET($E28,-1,0)=AP$4)*OFFSET($W24,1,0):OFFSET(AO28,-1,0))</f>
        <v>6243.7181122606835</v>
      </c>
      <c r="AQ63" s="68">
        <f ca="1">SUMPRODUCT(--(OFFSET($D24,1,0):OFFSET($D28,-1,0)="Y")*OFFSET($C24,1,0):OFFSET($C28,-1,0)*OFFSET(AQ24,1,0):OFFSET(AQ28,-1,0))-SUMPRODUCT(--(OFFSET($D24,1,0):OFFSET($D28,-1,0)="Y")*OFFSET($C24,1,0):OFFSET($C28,-1,0)*--(OFFSET($E24,1,0):OFFSET($E28,-1,0)=AQ$4)*OFFSET($W24,1,0):OFFSET(AP28,-1,0))</f>
        <v>5282.045617542175</v>
      </c>
      <c r="AR63" s="68">
        <f ca="1">SUMPRODUCT(--(OFFSET($D24,1,0):OFFSET($D28,-1,0)="Y")*OFFSET($C24,1,0):OFFSET($C28,-1,0)*OFFSET(AR24,1,0):OFFSET(AR28,-1,0))-SUMPRODUCT(--(OFFSET($D24,1,0):OFFSET($D28,-1,0)="Y")*OFFSET($C24,1,0):OFFSET($C28,-1,0)*--(OFFSET($E24,1,0):OFFSET($E28,-1,0)=AR$4)*OFFSET($W24,1,0):OFFSET(AQ28,-1,0))</f>
        <v>4398.3778692313763</v>
      </c>
      <c r="AS63" s="68">
        <f ca="1">SUMPRODUCT(--(OFFSET($D24,1,0):OFFSET($D28,-1,0)="Y")*OFFSET($C24,1,0):OFFSET($C28,-1,0)*OFFSET(AS24,1,0):OFFSET(AS28,-1,0))-SUMPRODUCT(--(OFFSET($D24,1,0):OFFSET($D28,-1,0)="Y")*OFFSET($C24,1,0):OFFSET($C28,-1,0)*--(OFFSET($E24,1,0):OFFSET($E28,-1,0)=AS$4)*OFFSET($W24,1,0):OFFSET(AR28,-1,0))</f>
        <v>3614.5645755669534</v>
      </c>
      <c r="AT63" s="68">
        <f ca="1">SUMPRODUCT(--(OFFSET($D24,1,0):OFFSET($D28,-1,0)="Y")*OFFSET($C24,1,0):OFFSET($C28,-1,0)*OFFSET(AT24,1,0):OFFSET(AT28,-1,0))-SUMPRODUCT(--(OFFSET($D24,1,0):OFFSET($D28,-1,0)="Y")*OFFSET($C24,1,0):OFFSET($C28,-1,0)*--(OFFSET($E24,1,0):OFFSET($E28,-1,0)=AT$4)*OFFSET($W24,1,0):OFFSET(AS28,-1,0))</f>
        <v>2938.3772645127437</v>
      </c>
      <c r="AU63" s="68">
        <f ca="1">SUMPRODUCT(--(OFFSET($D24,1,0):OFFSET($D28,-1,0)="Y")*OFFSET($C24,1,0):OFFSET($C28,-1,0)*OFFSET(AU24,1,0):OFFSET(AU28,-1,0))-SUMPRODUCT(--(OFFSET($D24,1,0):OFFSET($D28,-1,0)="Y")*OFFSET($C24,1,0):OFFSET($C28,-1,0)*--(OFFSET($E24,1,0):OFFSET($E28,-1,0)=AU$4)*OFFSET($W24,1,0):OFFSET(AT28,-1,0))</f>
        <v>2367.6899245906088</v>
      </c>
      <c r="AV63" s="68">
        <f ca="1">SUMPRODUCT(--(OFFSET($D24,1,0):OFFSET($D28,-1,0)="Y")*OFFSET($C24,1,0):OFFSET($C28,-1,0)*OFFSET(AV24,1,0):OFFSET(AV28,-1,0))-SUMPRODUCT(--(OFFSET($D24,1,0):OFFSET($D28,-1,0)="Y")*OFFSET($C24,1,0):OFFSET($C28,-1,0)*--(OFFSET($E24,1,0):OFFSET($E28,-1,0)=AV$4)*OFFSET($W24,1,0):OFFSET(AU28,-1,0))</f>
        <v>1894.3047503502353</v>
      </c>
      <c r="AW63" s="68">
        <f ca="1">SUMPRODUCT(--(OFFSET($D24,1,0):OFFSET($D28,-1,0)="Y")*OFFSET($C24,1,0):OFFSET($C28,-1,0)*OFFSET(AW24,1,0):OFFSET(AW28,-1,0))-SUMPRODUCT(--(OFFSET($D24,1,0):OFFSET($D28,-1,0)="Y")*OFFSET($C24,1,0):OFFSET($C28,-1,0)*--(OFFSET($E24,1,0):OFFSET($E28,-1,0)=AW$4)*OFFSET($W24,1,0):OFFSET(AV28,-1,0))</f>
        <v>0</v>
      </c>
      <c r="AX63" s="68">
        <f ca="1">SUMPRODUCT(--(OFFSET($D24,1,0):OFFSET($D28,-1,0)="Y")*OFFSET($C24,1,0):OFFSET($C28,-1,0)*OFFSET(AX24,1,0):OFFSET(AX28,-1,0))-SUMPRODUCT(--(OFFSET($D24,1,0):OFFSET($D28,-1,0)="Y")*OFFSET($C24,1,0):OFFSET($C28,-1,0)*--(OFFSET($E24,1,0):OFFSET($E28,-1,0)=AX$4)*OFFSET($W24,1,0):OFFSET(AW28,-1,0))</f>
        <v>0</v>
      </c>
      <c r="AY63" s="68">
        <f ca="1">SUMPRODUCT(--(OFFSET($D24,1,0):OFFSET($D28,-1,0)="Y")*OFFSET($C24,1,0):OFFSET($C28,-1,0)*OFFSET(AY24,1,0):OFFSET(AY28,-1,0))-SUMPRODUCT(--(OFFSET($D24,1,0):OFFSET($D28,-1,0)="Y")*OFFSET($C24,1,0):OFFSET($C28,-1,0)*--(OFFSET($E24,1,0):OFFSET($E28,-1,0)=AY$4)*OFFSET($W24,1,0):OFFSET(AX28,-1,0))</f>
        <v>0</v>
      </c>
      <c r="AZ63" s="68">
        <f ca="1">SUMPRODUCT(--(OFFSET($D24,1,0):OFFSET($D28,-1,0)="Y")*OFFSET($C24,1,0):OFFSET($C28,-1,0)*OFFSET(AZ24,1,0):OFFSET(AZ28,-1,0))-SUMPRODUCT(--(OFFSET($D24,1,0):OFFSET($D28,-1,0)="Y")*OFFSET($C24,1,0):OFFSET($C28,-1,0)*--(OFFSET($E24,1,0):OFFSET($E28,-1,0)=AZ$4)*OFFSET($W24,1,0):OFFSET(AY28,-1,0))</f>
        <v>0</v>
      </c>
      <c r="BA63" s="68">
        <f ca="1">SUMPRODUCT(--(OFFSET($D24,1,0):OFFSET($D28,-1,0)="Y")*OFFSET($C24,1,0):OFFSET($C28,-1,0)*OFFSET(BA24,1,0):OFFSET(BA28,-1,0))-SUMPRODUCT(--(OFFSET($D24,1,0):OFFSET($D28,-1,0)="Y")*OFFSET($C24,1,0):OFFSET($C28,-1,0)*--(OFFSET($E24,1,0):OFFSET($E28,-1,0)=BA$4)*OFFSET($W24,1,0):OFFSET(AZ28,-1,0))</f>
        <v>0</v>
      </c>
      <c r="BB63" s="68">
        <f ca="1">SUMPRODUCT(--(OFFSET($D24,1,0):OFFSET($D28,-1,0)="Y")*OFFSET($C24,1,0):OFFSET($C28,-1,0)*OFFSET(BB24,1,0):OFFSET(BB28,-1,0))-SUMPRODUCT(--(OFFSET($D24,1,0):OFFSET($D28,-1,0)="Y")*OFFSET($C24,1,0):OFFSET($C28,-1,0)*--(OFFSET($E24,1,0):OFFSET($E28,-1,0)=BB$4)*OFFSET($W24,1,0):OFFSET(BA28,-1,0))</f>
        <v>0</v>
      </c>
      <c r="BC63" s="68">
        <f ca="1">SUMPRODUCT(--(OFFSET($D24,1,0):OFFSET($D28,-1,0)="Y")*OFFSET($C24,1,0):OFFSET($C28,-1,0)*OFFSET(BC24,1,0):OFFSET(BC28,-1,0))-SUMPRODUCT(--(OFFSET($D24,1,0):OFFSET($D28,-1,0)="Y")*OFFSET($C24,1,0):OFFSET($C28,-1,0)*--(OFFSET($E24,1,0):OFFSET($E28,-1,0)=BC$4)*OFFSET($W24,1,0):OFFSET(BB28,-1,0))</f>
        <v>0</v>
      </c>
      <c r="BD63" s="68">
        <f ca="1">SUMPRODUCT(--(OFFSET($D24,1,0):OFFSET($D28,-1,0)="Y")*OFFSET($C24,1,0):OFFSET($C28,-1,0)*OFFSET(BD24,1,0):OFFSET(BD28,-1,0))-SUMPRODUCT(--(OFFSET($D24,1,0):OFFSET($D28,-1,0)="Y")*OFFSET($C24,1,0):OFFSET($C28,-1,0)*--(OFFSET($E24,1,0):OFFSET($E28,-1,0)=BD$4)*OFFSET($W24,1,0):OFFSET(BC28,-1,0))</f>
        <v>0</v>
      </c>
      <c r="BE63" s="68">
        <f ca="1">SUMPRODUCT(--(OFFSET($D24,1,0):OFFSET($D28,-1,0)="Y")*OFFSET($C24,1,0):OFFSET($C28,-1,0)*OFFSET(BE24,1,0):OFFSET(BE28,-1,0))-SUMPRODUCT(--(OFFSET($D24,1,0):OFFSET($D28,-1,0)="Y")*OFFSET($C24,1,0):OFFSET($C28,-1,0)*--(OFFSET($E24,1,0):OFFSET($E28,-1,0)=BE$4)*OFFSET($W24,1,0):OFFSET(BD28,-1,0))</f>
        <v>0</v>
      </c>
      <c r="BF63" s="68">
        <f ca="1">SUMPRODUCT(--(OFFSET($D24,1,0):OFFSET($D28,-1,0)="Y")*OFFSET($C24,1,0):OFFSET($C28,-1,0)*OFFSET(BF24,1,0):OFFSET(BF28,-1,0))-SUMPRODUCT(--(OFFSET($D24,1,0):OFFSET($D28,-1,0)="Y")*OFFSET($C24,1,0):OFFSET($C28,-1,0)*--(OFFSET($E24,1,0):OFFSET($E28,-1,0)=BF$4)*OFFSET($W24,1,0):OFFSET(BE28,-1,0))</f>
        <v>0</v>
      </c>
      <c r="BG63" s="68">
        <f ca="1">SUMPRODUCT(--(OFFSET($D24,1,0):OFFSET($D28,-1,0)="Y")*OFFSET($C24,1,0):OFFSET($C28,-1,0)*OFFSET(BG24,1,0):OFFSET(BG28,-1,0))-SUMPRODUCT(--(OFFSET($D24,1,0):OFFSET($D28,-1,0)="Y")*OFFSET($C24,1,0):OFFSET($C28,-1,0)*--(OFFSET($E24,1,0):OFFSET($E28,-1,0)=BG$4)*OFFSET($W24,1,0):OFFSET(BF28,-1,0))</f>
        <v>0</v>
      </c>
      <c r="BH63" s="68">
        <f ca="1">SUMPRODUCT(--(OFFSET($D24,1,0):OFFSET($D28,-1,0)="Y")*OFFSET($C24,1,0):OFFSET($C28,-1,0)*OFFSET(BH24,1,0):OFFSET(BH28,-1,0))-SUMPRODUCT(--(OFFSET($D24,1,0):OFFSET($D28,-1,0)="Y")*OFFSET($C24,1,0):OFFSET($C28,-1,0)*--(OFFSET($E24,1,0):OFFSET($E28,-1,0)=BH$4)*OFFSET($W24,1,0):OFFSET(BG28,-1,0))</f>
        <v>0</v>
      </c>
      <c r="BI63" s="68">
        <f ca="1">SUMPRODUCT(--(OFFSET($D24,1,0):OFFSET($D28,-1,0)="Y")*OFFSET($C24,1,0):OFFSET($C28,-1,0)*OFFSET(BI24,1,0):OFFSET(BI28,-1,0))-SUMPRODUCT(--(OFFSET($D24,1,0):OFFSET($D28,-1,0)="Y")*OFFSET($C24,1,0):OFFSET($C28,-1,0)*--(OFFSET($E24,1,0):OFFSET($E28,-1,0)=BI$4)*OFFSET($W24,1,0):OFFSET(BH28,-1,0))</f>
        <v>0</v>
      </c>
      <c r="BJ63" s="68">
        <f ca="1">SUMPRODUCT(--(OFFSET($D24,1,0):OFFSET($D28,-1,0)="Y")*OFFSET($C24,1,0):OFFSET($C28,-1,0)*OFFSET(BJ24,1,0):OFFSET(BJ28,-1,0))-SUMPRODUCT(--(OFFSET($D24,1,0):OFFSET($D28,-1,0)="Y")*OFFSET($C24,1,0):OFFSET($C28,-1,0)*--(OFFSET($E24,1,0):OFFSET($E28,-1,0)=BJ$4)*OFFSET($W24,1,0):OFFSET(BI28,-1,0))</f>
        <v>0</v>
      </c>
      <c r="BK63" s="68">
        <f ca="1">SUMPRODUCT(--(OFFSET($D24,1,0):OFFSET($D28,-1,0)="Y")*OFFSET($C24,1,0):OFFSET($C28,-1,0)*OFFSET(BK24,1,0):OFFSET(BK28,-1,0))-SUMPRODUCT(--(OFFSET($D24,1,0):OFFSET($D28,-1,0)="Y")*OFFSET($C24,1,0):OFFSET($C28,-1,0)*--(OFFSET($E24,1,0):OFFSET($E28,-1,0)=BK$4)*OFFSET($W24,1,0):OFFSET(BJ28,-1,0))</f>
        <v>0</v>
      </c>
      <c r="BL63" s="68">
        <f ca="1">SUMPRODUCT(--(OFFSET($D24,1,0):OFFSET($D28,-1,0)="Y")*OFFSET($C24,1,0):OFFSET($C28,-1,0)*OFFSET(BL24,1,0):OFFSET(BL28,-1,0))-SUMPRODUCT(--(OFFSET($D24,1,0):OFFSET($D28,-1,0)="Y")*OFFSET($C24,1,0):OFFSET($C28,-1,0)*--(OFFSET($E24,1,0):OFFSET($E28,-1,0)=BL$4)*OFFSET($W24,1,0):OFFSET(BK28,-1,0))</f>
        <v>0</v>
      </c>
      <c r="BM63" s="68">
        <f ca="1">SUMPRODUCT(--(OFFSET($D24,1,0):OFFSET($D28,-1,0)="Y")*OFFSET($C24,1,0):OFFSET($C28,-1,0)*OFFSET(BM24,1,0):OFFSET(BM28,-1,0))-SUMPRODUCT(--(OFFSET($D24,1,0):OFFSET($D28,-1,0)="Y")*OFFSET($C24,1,0):OFFSET($C28,-1,0)*--(OFFSET($E24,1,0):OFFSET($E28,-1,0)=BM$4)*OFFSET($W24,1,0):OFFSET(BL28,-1,0))</f>
        <v>0</v>
      </c>
      <c r="BN63" s="68">
        <f ca="1">SUMPRODUCT(--(OFFSET($D24,1,0):OFFSET($D28,-1,0)="Y")*OFFSET($C24,1,0):OFFSET($C28,-1,0)*OFFSET(BN24,1,0):OFFSET(BN28,-1,0))-SUMPRODUCT(--(OFFSET($D24,1,0):OFFSET($D28,-1,0)="Y")*OFFSET($C24,1,0):OFFSET($C28,-1,0)*--(OFFSET($E24,1,0):OFFSET($E28,-1,0)=BN$4)*OFFSET($W24,1,0):OFFSET(BM28,-1,0))</f>
        <v>0</v>
      </c>
      <c r="BO63" s="68">
        <f ca="1">SUMPRODUCT(--(OFFSET($D24,1,0):OFFSET($D28,-1,0)="Y")*OFFSET($C24,1,0):OFFSET($C28,-1,0)*OFFSET(BO24,1,0):OFFSET(BO28,-1,0))-SUMPRODUCT(--(OFFSET($D24,1,0):OFFSET($D28,-1,0)="Y")*OFFSET($C24,1,0):OFFSET($C28,-1,0)*--(OFFSET($E24,1,0):OFFSET($E28,-1,0)=BO$4)*OFFSET($W24,1,0):OFFSET(BN28,-1,0))</f>
        <v>0</v>
      </c>
      <c r="BP63" s="68">
        <f ca="1">SUMPRODUCT(--(OFFSET($D24,1,0):OFFSET($D28,-1,0)="Y")*OFFSET($C24,1,0):OFFSET($C28,-1,0)*OFFSET(BP24,1,0):OFFSET(BP28,-1,0))-SUMPRODUCT(--(OFFSET($D24,1,0):OFFSET($D28,-1,0)="Y")*OFFSET($C24,1,0):OFFSET($C28,-1,0)*--(OFFSET($E24,1,0):OFFSET($E28,-1,0)=BP$4)*OFFSET($W24,1,0):OFFSET(BO28,-1,0))</f>
        <v>0</v>
      </c>
      <c r="BQ63" s="68">
        <f ca="1">SUMPRODUCT(--(OFFSET($D24,1,0):OFFSET($D28,-1,0)="Y")*OFFSET($C24,1,0):OFFSET($C28,-1,0)*OFFSET(BQ24,1,0):OFFSET(BQ28,-1,0))-SUMPRODUCT(--(OFFSET($D24,1,0):OFFSET($D28,-1,0)="Y")*OFFSET($C24,1,0):OFFSET($C28,-1,0)*--(OFFSET($E24,1,0):OFFSET($E28,-1,0)=BQ$4)*OFFSET($W24,1,0):OFFSET(BP28,-1,0))</f>
        <v>0</v>
      </c>
      <c r="BR63" s="68">
        <f ca="1">SUMPRODUCT(--(OFFSET($D24,1,0):OFFSET($D28,-1,0)="Y")*OFFSET($C24,1,0):OFFSET($C28,-1,0)*OFFSET(BR24,1,0):OFFSET(BR28,-1,0))-SUMPRODUCT(--(OFFSET($D24,1,0):OFFSET($D28,-1,0)="Y")*OFFSET($C24,1,0):OFFSET($C28,-1,0)*--(OFFSET($E24,1,0):OFFSET($E28,-1,0)=BR$4)*OFFSET($W24,1,0):OFFSET(BQ28,-1,0))</f>
        <v>0</v>
      </c>
      <c r="BS63" s="68">
        <f ca="1">SUMPRODUCT(--(OFFSET($D24,1,0):OFFSET($D28,-1,0)="Y")*OFFSET($C24,1,0):OFFSET($C28,-1,0)*OFFSET(BS24,1,0):OFFSET(BS28,-1,0))-SUMPRODUCT(--(OFFSET($D24,1,0):OFFSET($D28,-1,0)="Y")*OFFSET($C24,1,0):OFFSET($C28,-1,0)*--(OFFSET($E24,1,0):OFFSET($E28,-1,0)=BS$4)*OFFSET($W24,1,0):OFFSET(BR28,-1,0))</f>
        <v>0</v>
      </c>
    </row>
    <row r="64" spans="1:71" x14ac:dyDescent="0.2">
      <c r="A64" s="36" t="s">
        <v>41</v>
      </c>
      <c r="B64" s="37" t="s">
        <v>109</v>
      </c>
      <c r="G64" s="37" t="str">
        <f>$G$30</f>
        <v>Lease Expenses</v>
      </c>
      <c r="V64" s="81">
        <f t="shared" ca="1" si="10"/>
        <v>0</v>
      </c>
      <c r="X64" s="68">
        <f ca="1">SUMPRODUCT(--(OFFSET($D30,1,0):OFFSET($D34,-1,0)="Y")*OFFSET($C30,1,0):OFFSET($C34,-1,0)*OFFSET(X30,1,0):OFFSET(X34,-1,0))-SUMPRODUCT(--(OFFSET($D30,1,0):OFFSET($D34,-1,0)="Y")*OFFSET($C30,1,0):OFFSET($C34,-1,0)*--(OFFSET($E30,1,0):OFFSET($E34,-1,0)=X$4)*OFFSET($W30,1,0):OFFSET(W34,-1,0))</f>
        <v>0</v>
      </c>
      <c r="Y64" s="68">
        <f ca="1">SUMPRODUCT(--(OFFSET($D30,1,0):OFFSET($D34,-1,0)="Y")*OFFSET($C30,1,0):OFFSET($C34,-1,0)*OFFSET(Y30,1,0):OFFSET(Y34,-1,0))-SUMPRODUCT(--(OFFSET($D30,1,0):OFFSET($D34,-1,0)="Y")*OFFSET($C30,1,0):OFFSET($C34,-1,0)*--(OFFSET($E30,1,0):OFFSET($E34,-1,0)=Y$4)*OFFSET($W30,1,0):OFFSET(X34,-1,0))</f>
        <v>0</v>
      </c>
      <c r="Z64" s="68">
        <f ca="1">SUMPRODUCT(--(OFFSET($D30,1,0):OFFSET($D34,-1,0)="Y")*OFFSET($C30,1,0):OFFSET($C34,-1,0)*OFFSET(Z30,1,0):OFFSET(Z34,-1,0))-SUMPRODUCT(--(OFFSET($D30,1,0):OFFSET($D34,-1,0)="Y")*OFFSET($C30,1,0):OFFSET($C34,-1,0)*--(OFFSET($E30,1,0):OFFSET($E34,-1,0)=Z$4)*OFFSET($W30,1,0):OFFSET(Y34,-1,0))</f>
        <v>0</v>
      </c>
      <c r="AA64" s="68">
        <f ca="1">SUMPRODUCT(--(OFFSET($D30,1,0):OFFSET($D34,-1,0)="Y")*OFFSET($C30,1,0):OFFSET($C34,-1,0)*OFFSET(AA30,1,0):OFFSET(AA34,-1,0))-SUMPRODUCT(--(OFFSET($D30,1,0):OFFSET($D34,-1,0)="Y")*OFFSET($C30,1,0):OFFSET($C34,-1,0)*--(OFFSET($E30,1,0):OFFSET($E34,-1,0)=AA$4)*OFFSET($W30,1,0):OFFSET(Z34,-1,0))</f>
        <v>0</v>
      </c>
      <c r="AB64" s="68">
        <f ca="1">SUMPRODUCT(--(OFFSET($D30,1,0):OFFSET($D34,-1,0)="Y")*OFFSET($C30,1,0):OFFSET($C34,-1,0)*OFFSET(AB30,1,0):OFFSET(AB34,-1,0))-SUMPRODUCT(--(OFFSET($D30,1,0):OFFSET($D34,-1,0)="Y")*OFFSET($C30,1,0):OFFSET($C34,-1,0)*--(OFFSET($E30,1,0):OFFSET($E34,-1,0)=AB$4)*OFFSET($W30,1,0):OFFSET(AA34,-1,0))</f>
        <v>0</v>
      </c>
      <c r="AC64" s="68">
        <f ca="1">SUMPRODUCT(--(OFFSET($D30,1,0):OFFSET($D34,-1,0)="Y")*OFFSET($C30,1,0):OFFSET($C34,-1,0)*OFFSET(AC30,1,0):OFFSET(AC34,-1,0))-SUMPRODUCT(--(OFFSET($D30,1,0):OFFSET($D34,-1,0)="Y")*OFFSET($C30,1,0):OFFSET($C34,-1,0)*--(OFFSET($E30,1,0):OFFSET($E34,-1,0)=AC$4)*OFFSET($W30,1,0):OFFSET(AB34,-1,0))</f>
        <v>0</v>
      </c>
      <c r="AD64" s="68">
        <f ca="1">SUMPRODUCT(--(OFFSET($D30,1,0):OFFSET($D34,-1,0)="Y")*OFFSET($C30,1,0):OFFSET($C34,-1,0)*OFFSET(AD30,1,0):OFFSET(AD34,-1,0))-SUMPRODUCT(--(OFFSET($D30,1,0):OFFSET($D34,-1,0)="Y")*OFFSET($C30,1,0):OFFSET($C34,-1,0)*--(OFFSET($E30,1,0):OFFSET($E34,-1,0)=AD$4)*OFFSET($W30,1,0):OFFSET(AC34,-1,0))</f>
        <v>0</v>
      </c>
      <c r="AE64" s="68">
        <f ca="1">SUMPRODUCT(--(OFFSET($D30,1,0):OFFSET($D34,-1,0)="Y")*OFFSET($C30,1,0):OFFSET($C34,-1,0)*OFFSET(AE30,1,0):OFFSET(AE34,-1,0))-SUMPRODUCT(--(OFFSET($D30,1,0):OFFSET($D34,-1,0)="Y")*OFFSET($C30,1,0):OFFSET($C34,-1,0)*--(OFFSET($E30,1,0):OFFSET($E34,-1,0)=AE$4)*OFFSET($W30,1,0):OFFSET(AD34,-1,0))</f>
        <v>0</v>
      </c>
      <c r="AF64" s="68">
        <f ca="1">SUMPRODUCT(--(OFFSET($D30,1,0):OFFSET($D34,-1,0)="Y")*OFFSET($C30,1,0):OFFSET($C34,-1,0)*OFFSET(AF30,1,0):OFFSET(AF34,-1,0))-SUMPRODUCT(--(OFFSET($D30,1,0):OFFSET($D34,-1,0)="Y")*OFFSET($C30,1,0):OFFSET($C34,-1,0)*--(OFFSET($E30,1,0):OFFSET($E34,-1,0)=AF$4)*OFFSET($W30,1,0):OFFSET(AE34,-1,0))</f>
        <v>0</v>
      </c>
      <c r="AG64" s="68">
        <f ca="1">SUMPRODUCT(--(OFFSET($D30,1,0):OFFSET($D34,-1,0)="Y")*OFFSET($C30,1,0):OFFSET($C34,-1,0)*OFFSET(AG30,1,0):OFFSET(AG34,-1,0))-SUMPRODUCT(--(OFFSET($D30,1,0):OFFSET($D34,-1,0)="Y")*OFFSET($C30,1,0):OFFSET($C34,-1,0)*--(OFFSET($E30,1,0):OFFSET($E34,-1,0)=AG$4)*OFFSET($W30,1,0):OFFSET(AF34,-1,0))</f>
        <v>0</v>
      </c>
      <c r="AH64" s="68">
        <f ca="1">SUMPRODUCT(--(OFFSET($D30,1,0):OFFSET($D34,-1,0)="Y")*OFFSET($C30,1,0):OFFSET($C34,-1,0)*OFFSET(AH30,1,0):OFFSET(AH34,-1,0))-SUMPRODUCT(--(OFFSET($D30,1,0):OFFSET($D34,-1,0)="Y")*OFFSET($C30,1,0):OFFSET($C34,-1,0)*--(OFFSET($E30,1,0):OFFSET($E34,-1,0)=AH$4)*OFFSET($W30,1,0):OFFSET(AG34,-1,0))</f>
        <v>0</v>
      </c>
      <c r="AI64" s="68">
        <f ca="1">SUMPRODUCT(--(OFFSET($D30,1,0):OFFSET($D34,-1,0)="Y")*OFFSET($C30,1,0):OFFSET($C34,-1,0)*OFFSET(AI30,1,0):OFFSET(AI34,-1,0))-SUMPRODUCT(--(OFFSET($D30,1,0):OFFSET($D34,-1,0)="Y")*OFFSET($C30,1,0):OFFSET($C34,-1,0)*--(OFFSET($E30,1,0):OFFSET($E34,-1,0)=AI$4)*OFFSET($W30,1,0):OFFSET(AH34,-1,0))</f>
        <v>0</v>
      </c>
      <c r="AJ64" s="68">
        <f ca="1">SUMPRODUCT(--(OFFSET($D30,1,0):OFFSET($D34,-1,0)="Y")*OFFSET($C30,1,0):OFFSET($C34,-1,0)*OFFSET(AJ30,1,0):OFFSET(AJ34,-1,0))-SUMPRODUCT(--(OFFSET($D30,1,0):OFFSET($D34,-1,0)="Y")*OFFSET($C30,1,0):OFFSET($C34,-1,0)*--(OFFSET($E30,1,0):OFFSET($E34,-1,0)=AJ$4)*OFFSET($W30,1,0):OFFSET(AI34,-1,0))</f>
        <v>0</v>
      </c>
      <c r="AK64" s="68">
        <f ca="1">SUMPRODUCT(--(OFFSET($D30,1,0):OFFSET($D34,-1,0)="Y")*OFFSET($C30,1,0):OFFSET($C34,-1,0)*OFFSET(AK30,1,0):OFFSET(AK34,-1,0))-SUMPRODUCT(--(OFFSET($D30,1,0):OFFSET($D34,-1,0)="Y")*OFFSET($C30,1,0):OFFSET($C34,-1,0)*--(OFFSET($E30,1,0):OFFSET($E34,-1,0)=AK$4)*OFFSET($W30,1,0):OFFSET(AJ34,-1,0))</f>
        <v>0</v>
      </c>
      <c r="AL64" s="68">
        <f ca="1">SUMPRODUCT(--(OFFSET($D30,1,0):OFFSET($D34,-1,0)="Y")*OFFSET($C30,1,0):OFFSET($C34,-1,0)*OFFSET(AL30,1,0):OFFSET(AL34,-1,0))-SUMPRODUCT(--(OFFSET($D30,1,0):OFFSET($D34,-1,0)="Y")*OFFSET($C30,1,0):OFFSET($C34,-1,0)*--(OFFSET($E30,1,0):OFFSET($E34,-1,0)=AL$4)*OFFSET($W30,1,0):OFFSET(AK34,-1,0))</f>
        <v>0</v>
      </c>
      <c r="AM64" s="68">
        <f ca="1">SUMPRODUCT(--(OFFSET($D30,1,0):OFFSET($D34,-1,0)="Y")*OFFSET($C30,1,0):OFFSET($C34,-1,0)*OFFSET(AM30,1,0):OFFSET(AM34,-1,0))-SUMPRODUCT(--(OFFSET($D30,1,0):OFFSET($D34,-1,0)="Y")*OFFSET($C30,1,0):OFFSET($C34,-1,0)*--(OFFSET($E30,1,0):OFFSET($E34,-1,0)=AM$4)*OFFSET($W30,1,0):OFFSET(AL34,-1,0))</f>
        <v>0</v>
      </c>
      <c r="AN64" s="68">
        <f ca="1">SUMPRODUCT(--(OFFSET($D30,1,0):OFFSET($D34,-1,0)="Y")*OFFSET($C30,1,0):OFFSET($C34,-1,0)*OFFSET(AN30,1,0):OFFSET(AN34,-1,0))-SUMPRODUCT(--(OFFSET($D30,1,0):OFFSET($D34,-1,0)="Y")*OFFSET($C30,1,0):OFFSET($C34,-1,0)*--(OFFSET($E30,1,0):OFFSET($E34,-1,0)=AN$4)*OFFSET($W30,1,0):OFFSET(AM34,-1,0))</f>
        <v>0</v>
      </c>
      <c r="AO64" s="68">
        <f ca="1">SUMPRODUCT(--(OFFSET($D30,1,0):OFFSET($D34,-1,0)="Y")*OFFSET($C30,1,0):OFFSET($C34,-1,0)*OFFSET(AO30,1,0):OFFSET(AO34,-1,0))-SUMPRODUCT(--(OFFSET($D30,1,0):OFFSET($D34,-1,0)="Y")*OFFSET($C30,1,0):OFFSET($C34,-1,0)*--(OFFSET($E30,1,0):OFFSET($E34,-1,0)=AO$4)*OFFSET($W30,1,0):OFFSET(AN34,-1,0))</f>
        <v>0</v>
      </c>
      <c r="AP64" s="68">
        <f ca="1">SUMPRODUCT(--(OFFSET($D30,1,0):OFFSET($D34,-1,0)="Y")*OFFSET($C30,1,0):OFFSET($C34,-1,0)*OFFSET(AP30,1,0):OFFSET(AP34,-1,0))-SUMPRODUCT(--(OFFSET($D30,1,0):OFFSET($D34,-1,0)="Y")*OFFSET($C30,1,0):OFFSET($C34,-1,0)*--(OFFSET($E30,1,0):OFFSET($E34,-1,0)=AP$4)*OFFSET($W30,1,0):OFFSET(AO34,-1,0))</f>
        <v>0</v>
      </c>
      <c r="AQ64" s="68">
        <f ca="1">SUMPRODUCT(--(OFFSET($D30,1,0):OFFSET($D34,-1,0)="Y")*OFFSET($C30,1,0):OFFSET($C34,-1,0)*OFFSET(AQ30,1,0):OFFSET(AQ34,-1,0))-SUMPRODUCT(--(OFFSET($D30,1,0):OFFSET($D34,-1,0)="Y")*OFFSET($C30,1,0):OFFSET($C34,-1,0)*--(OFFSET($E30,1,0):OFFSET($E34,-1,0)=AQ$4)*OFFSET($W30,1,0):OFFSET(AP34,-1,0))</f>
        <v>0</v>
      </c>
      <c r="AR64" s="68">
        <f ca="1">SUMPRODUCT(--(OFFSET($D30,1,0):OFFSET($D34,-1,0)="Y")*OFFSET($C30,1,0):OFFSET($C34,-1,0)*OFFSET(AR30,1,0):OFFSET(AR34,-1,0))-SUMPRODUCT(--(OFFSET($D30,1,0):OFFSET($D34,-1,0)="Y")*OFFSET($C30,1,0):OFFSET($C34,-1,0)*--(OFFSET($E30,1,0):OFFSET($E34,-1,0)=AR$4)*OFFSET($W30,1,0):OFFSET(AQ34,-1,0))</f>
        <v>0</v>
      </c>
      <c r="AS64" s="68">
        <f ca="1">SUMPRODUCT(--(OFFSET($D30,1,0):OFFSET($D34,-1,0)="Y")*OFFSET($C30,1,0):OFFSET($C34,-1,0)*OFFSET(AS30,1,0):OFFSET(AS34,-1,0))-SUMPRODUCT(--(OFFSET($D30,1,0):OFFSET($D34,-1,0)="Y")*OFFSET($C30,1,0):OFFSET($C34,-1,0)*--(OFFSET($E30,1,0):OFFSET($E34,-1,0)=AS$4)*OFFSET($W30,1,0):OFFSET(AR34,-1,0))</f>
        <v>0</v>
      </c>
      <c r="AT64" s="68">
        <f ca="1">SUMPRODUCT(--(OFFSET($D30,1,0):OFFSET($D34,-1,0)="Y")*OFFSET($C30,1,0):OFFSET($C34,-1,0)*OFFSET(AT30,1,0):OFFSET(AT34,-1,0))-SUMPRODUCT(--(OFFSET($D30,1,0):OFFSET($D34,-1,0)="Y")*OFFSET($C30,1,0):OFFSET($C34,-1,0)*--(OFFSET($E30,1,0):OFFSET($E34,-1,0)=AT$4)*OFFSET($W30,1,0):OFFSET(AS34,-1,0))</f>
        <v>0</v>
      </c>
      <c r="AU64" s="68">
        <f ca="1">SUMPRODUCT(--(OFFSET($D30,1,0):OFFSET($D34,-1,0)="Y")*OFFSET($C30,1,0):OFFSET($C34,-1,0)*OFFSET(AU30,1,0):OFFSET(AU34,-1,0))-SUMPRODUCT(--(OFFSET($D30,1,0):OFFSET($D34,-1,0)="Y")*OFFSET($C30,1,0):OFFSET($C34,-1,0)*--(OFFSET($E30,1,0):OFFSET($E34,-1,0)=AU$4)*OFFSET($W30,1,0):OFFSET(AT34,-1,0))</f>
        <v>0</v>
      </c>
      <c r="AV64" s="68">
        <f ca="1">SUMPRODUCT(--(OFFSET($D30,1,0):OFFSET($D34,-1,0)="Y")*OFFSET($C30,1,0):OFFSET($C34,-1,0)*OFFSET(AV30,1,0):OFFSET(AV34,-1,0))-SUMPRODUCT(--(OFFSET($D30,1,0):OFFSET($D34,-1,0)="Y")*OFFSET($C30,1,0):OFFSET($C34,-1,0)*--(OFFSET($E30,1,0):OFFSET($E34,-1,0)=AV$4)*OFFSET($W30,1,0):OFFSET(AU34,-1,0))</f>
        <v>0</v>
      </c>
      <c r="AW64" s="68">
        <f ca="1">SUMPRODUCT(--(OFFSET($D30,1,0):OFFSET($D34,-1,0)="Y")*OFFSET($C30,1,0):OFFSET($C34,-1,0)*OFFSET(AW30,1,0):OFFSET(AW34,-1,0))-SUMPRODUCT(--(OFFSET($D30,1,0):OFFSET($D34,-1,0)="Y")*OFFSET($C30,1,0):OFFSET($C34,-1,0)*--(OFFSET($E30,1,0):OFFSET($E34,-1,0)=AW$4)*OFFSET($W30,1,0):OFFSET(AV34,-1,0))</f>
        <v>0</v>
      </c>
      <c r="AX64" s="68">
        <f ca="1">SUMPRODUCT(--(OFFSET($D30,1,0):OFFSET($D34,-1,0)="Y")*OFFSET($C30,1,0):OFFSET($C34,-1,0)*OFFSET(AX30,1,0):OFFSET(AX34,-1,0))-SUMPRODUCT(--(OFFSET($D30,1,0):OFFSET($D34,-1,0)="Y")*OFFSET($C30,1,0):OFFSET($C34,-1,0)*--(OFFSET($E30,1,0):OFFSET($E34,-1,0)=AX$4)*OFFSET($W30,1,0):OFFSET(AW34,-1,0))</f>
        <v>0</v>
      </c>
      <c r="AY64" s="68">
        <f ca="1">SUMPRODUCT(--(OFFSET($D30,1,0):OFFSET($D34,-1,0)="Y")*OFFSET($C30,1,0):OFFSET($C34,-1,0)*OFFSET(AY30,1,0):OFFSET(AY34,-1,0))-SUMPRODUCT(--(OFFSET($D30,1,0):OFFSET($D34,-1,0)="Y")*OFFSET($C30,1,0):OFFSET($C34,-1,0)*--(OFFSET($E30,1,0):OFFSET($E34,-1,0)=AY$4)*OFFSET($W30,1,0):OFFSET(AX34,-1,0))</f>
        <v>0</v>
      </c>
      <c r="AZ64" s="68">
        <f ca="1">SUMPRODUCT(--(OFFSET($D30,1,0):OFFSET($D34,-1,0)="Y")*OFFSET($C30,1,0):OFFSET($C34,-1,0)*OFFSET(AZ30,1,0):OFFSET(AZ34,-1,0))-SUMPRODUCT(--(OFFSET($D30,1,0):OFFSET($D34,-1,0)="Y")*OFFSET($C30,1,0):OFFSET($C34,-1,0)*--(OFFSET($E30,1,0):OFFSET($E34,-1,0)=AZ$4)*OFFSET($W30,1,0):OFFSET(AY34,-1,0))</f>
        <v>0</v>
      </c>
      <c r="BA64" s="68">
        <f ca="1">SUMPRODUCT(--(OFFSET($D30,1,0):OFFSET($D34,-1,0)="Y")*OFFSET($C30,1,0):OFFSET($C34,-1,0)*OFFSET(BA30,1,0):OFFSET(BA34,-1,0))-SUMPRODUCT(--(OFFSET($D30,1,0):OFFSET($D34,-1,0)="Y")*OFFSET($C30,1,0):OFFSET($C34,-1,0)*--(OFFSET($E30,1,0):OFFSET($E34,-1,0)=BA$4)*OFFSET($W30,1,0):OFFSET(AZ34,-1,0))</f>
        <v>0</v>
      </c>
      <c r="BB64" s="68">
        <f ca="1">SUMPRODUCT(--(OFFSET($D30,1,0):OFFSET($D34,-1,0)="Y")*OFFSET($C30,1,0):OFFSET($C34,-1,0)*OFFSET(BB30,1,0):OFFSET(BB34,-1,0))-SUMPRODUCT(--(OFFSET($D30,1,0):OFFSET($D34,-1,0)="Y")*OFFSET($C30,1,0):OFFSET($C34,-1,0)*--(OFFSET($E30,1,0):OFFSET($E34,-1,0)=BB$4)*OFFSET($W30,1,0):OFFSET(BA34,-1,0))</f>
        <v>0</v>
      </c>
      <c r="BC64" s="68">
        <f ca="1">SUMPRODUCT(--(OFFSET($D30,1,0):OFFSET($D34,-1,0)="Y")*OFFSET($C30,1,0):OFFSET($C34,-1,0)*OFFSET(BC30,1,0):OFFSET(BC34,-1,0))-SUMPRODUCT(--(OFFSET($D30,1,0):OFFSET($D34,-1,0)="Y")*OFFSET($C30,1,0):OFFSET($C34,-1,0)*--(OFFSET($E30,1,0):OFFSET($E34,-1,0)=BC$4)*OFFSET($W30,1,0):OFFSET(BB34,-1,0))</f>
        <v>0</v>
      </c>
      <c r="BD64" s="68">
        <f ca="1">SUMPRODUCT(--(OFFSET($D30,1,0):OFFSET($D34,-1,0)="Y")*OFFSET($C30,1,0):OFFSET($C34,-1,0)*OFFSET(BD30,1,0):OFFSET(BD34,-1,0))-SUMPRODUCT(--(OFFSET($D30,1,0):OFFSET($D34,-1,0)="Y")*OFFSET($C30,1,0):OFFSET($C34,-1,0)*--(OFFSET($E30,1,0):OFFSET($E34,-1,0)=BD$4)*OFFSET($W30,1,0):OFFSET(BC34,-1,0))</f>
        <v>0</v>
      </c>
      <c r="BE64" s="68">
        <f ca="1">SUMPRODUCT(--(OFFSET($D30,1,0):OFFSET($D34,-1,0)="Y")*OFFSET($C30,1,0):OFFSET($C34,-1,0)*OFFSET(BE30,1,0):OFFSET(BE34,-1,0))-SUMPRODUCT(--(OFFSET($D30,1,0):OFFSET($D34,-1,0)="Y")*OFFSET($C30,1,0):OFFSET($C34,-1,0)*--(OFFSET($E30,1,0):OFFSET($E34,-1,0)=BE$4)*OFFSET($W30,1,0):OFFSET(BD34,-1,0))</f>
        <v>0</v>
      </c>
      <c r="BF64" s="68">
        <f ca="1">SUMPRODUCT(--(OFFSET($D30,1,0):OFFSET($D34,-1,0)="Y")*OFFSET($C30,1,0):OFFSET($C34,-1,0)*OFFSET(BF30,1,0):OFFSET(BF34,-1,0))-SUMPRODUCT(--(OFFSET($D30,1,0):OFFSET($D34,-1,0)="Y")*OFFSET($C30,1,0):OFFSET($C34,-1,0)*--(OFFSET($E30,1,0):OFFSET($E34,-1,0)=BF$4)*OFFSET($W30,1,0):OFFSET(BE34,-1,0))</f>
        <v>0</v>
      </c>
      <c r="BG64" s="68">
        <f ca="1">SUMPRODUCT(--(OFFSET($D30,1,0):OFFSET($D34,-1,0)="Y")*OFFSET($C30,1,0):OFFSET($C34,-1,0)*OFFSET(BG30,1,0):OFFSET(BG34,-1,0))-SUMPRODUCT(--(OFFSET($D30,1,0):OFFSET($D34,-1,0)="Y")*OFFSET($C30,1,0):OFFSET($C34,-1,0)*--(OFFSET($E30,1,0):OFFSET($E34,-1,0)=BG$4)*OFFSET($W30,1,0):OFFSET(BF34,-1,0))</f>
        <v>0</v>
      </c>
      <c r="BH64" s="68">
        <f ca="1">SUMPRODUCT(--(OFFSET($D30,1,0):OFFSET($D34,-1,0)="Y")*OFFSET($C30,1,0):OFFSET($C34,-1,0)*OFFSET(BH30,1,0):OFFSET(BH34,-1,0))-SUMPRODUCT(--(OFFSET($D30,1,0):OFFSET($D34,-1,0)="Y")*OFFSET($C30,1,0):OFFSET($C34,-1,0)*--(OFFSET($E30,1,0):OFFSET($E34,-1,0)=BH$4)*OFFSET($W30,1,0):OFFSET(BG34,-1,0))</f>
        <v>0</v>
      </c>
      <c r="BI64" s="68">
        <f ca="1">SUMPRODUCT(--(OFFSET($D30,1,0):OFFSET($D34,-1,0)="Y")*OFFSET($C30,1,0):OFFSET($C34,-1,0)*OFFSET(BI30,1,0):OFFSET(BI34,-1,0))-SUMPRODUCT(--(OFFSET($D30,1,0):OFFSET($D34,-1,0)="Y")*OFFSET($C30,1,0):OFFSET($C34,-1,0)*--(OFFSET($E30,1,0):OFFSET($E34,-1,0)=BI$4)*OFFSET($W30,1,0):OFFSET(BH34,-1,0))</f>
        <v>0</v>
      </c>
      <c r="BJ64" s="68">
        <f ca="1">SUMPRODUCT(--(OFFSET($D30,1,0):OFFSET($D34,-1,0)="Y")*OFFSET($C30,1,0):OFFSET($C34,-1,0)*OFFSET(BJ30,1,0):OFFSET(BJ34,-1,0))-SUMPRODUCT(--(OFFSET($D30,1,0):OFFSET($D34,-1,0)="Y")*OFFSET($C30,1,0):OFFSET($C34,-1,0)*--(OFFSET($E30,1,0):OFFSET($E34,-1,0)=BJ$4)*OFFSET($W30,1,0):OFFSET(BI34,-1,0))</f>
        <v>0</v>
      </c>
      <c r="BK64" s="68">
        <f ca="1">SUMPRODUCT(--(OFFSET($D30,1,0):OFFSET($D34,-1,0)="Y")*OFFSET($C30,1,0):OFFSET($C34,-1,0)*OFFSET(BK30,1,0):OFFSET(BK34,-1,0))-SUMPRODUCT(--(OFFSET($D30,1,0):OFFSET($D34,-1,0)="Y")*OFFSET($C30,1,0):OFFSET($C34,-1,0)*--(OFFSET($E30,1,0):OFFSET($E34,-1,0)=BK$4)*OFFSET($W30,1,0):OFFSET(BJ34,-1,0))</f>
        <v>0</v>
      </c>
      <c r="BL64" s="68">
        <f ca="1">SUMPRODUCT(--(OFFSET($D30,1,0):OFFSET($D34,-1,0)="Y")*OFFSET($C30,1,0):OFFSET($C34,-1,0)*OFFSET(BL30,1,0):OFFSET(BL34,-1,0))-SUMPRODUCT(--(OFFSET($D30,1,0):OFFSET($D34,-1,0)="Y")*OFFSET($C30,1,0):OFFSET($C34,-1,0)*--(OFFSET($E30,1,0):OFFSET($E34,-1,0)=BL$4)*OFFSET($W30,1,0):OFFSET(BK34,-1,0))</f>
        <v>0</v>
      </c>
      <c r="BM64" s="68">
        <f ca="1">SUMPRODUCT(--(OFFSET($D30,1,0):OFFSET($D34,-1,0)="Y")*OFFSET($C30,1,0):OFFSET($C34,-1,0)*OFFSET(BM30,1,0):OFFSET(BM34,-1,0))-SUMPRODUCT(--(OFFSET($D30,1,0):OFFSET($D34,-1,0)="Y")*OFFSET($C30,1,0):OFFSET($C34,-1,0)*--(OFFSET($E30,1,0):OFFSET($E34,-1,0)=BM$4)*OFFSET($W30,1,0):OFFSET(BL34,-1,0))</f>
        <v>0</v>
      </c>
      <c r="BN64" s="68">
        <f ca="1">SUMPRODUCT(--(OFFSET($D30,1,0):OFFSET($D34,-1,0)="Y")*OFFSET($C30,1,0):OFFSET($C34,-1,0)*OFFSET(BN30,1,0):OFFSET(BN34,-1,0))-SUMPRODUCT(--(OFFSET($D30,1,0):OFFSET($D34,-1,0)="Y")*OFFSET($C30,1,0):OFFSET($C34,-1,0)*--(OFFSET($E30,1,0):OFFSET($E34,-1,0)=BN$4)*OFFSET($W30,1,0):OFFSET(BM34,-1,0))</f>
        <v>0</v>
      </c>
      <c r="BO64" s="68">
        <f ca="1">SUMPRODUCT(--(OFFSET($D30,1,0):OFFSET($D34,-1,0)="Y")*OFFSET($C30,1,0):OFFSET($C34,-1,0)*OFFSET(BO30,1,0):OFFSET(BO34,-1,0))-SUMPRODUCT(--(OFFSET($D30,1,0):OFFSET($D34,-1,0)="Y")*OFFSET($C30,1,0):OFFSET($C34,-1,0)*--(OFFSET($E30,1,0):OFFSET($E34,-1,0)=BO$4)*OFFSET($W30,1,0):OFFSET(BN34,-1,0))</f>
        <v>0</v>
      </c>
      <c r="BP64" s="68">
        <f ca="1">SUMPRODUCT(--(OFFSET($D30,1,0):OFFSET($D34,-1,0)="Y")*OFFSET($C30,1,0):OFFSET($C34,-1,0)*OFFSET(BP30,1,0):OFFSET(BP34,-1,0))-SUMPRODUCT(--(OFFSET($D30,1,0):OFFSET($D34,-1,0)="Y")*OFFSET($C30,1,0):OFFSET($C34,-1,0)*--(OFFSET($E30,1,0):OFFSET($E34,-1,0)=BP$4)*OFFSET($W30,1,0):OFFSET(BO34,-1,0))</f>
        <v>0</v>
      </c>
      <c r="BQ64" s="68">
        <f ca="1">SUMPRODUCT(--(OFFSET($D30,1,0):OFFSET($D34,-1,0)="Y")*OFFSET($C30,1,0):OFFSET($C34,-1,0)*OFFSET(BQ30,1,0):OFFSET(BQ34,-1,0))-SUMPRODUCT(--(OFFSET($D30,1,0):OFFSET($D34,-1,0)="Y")*OFFSET($C30,1,0):OFFSET($C34,-1,0)*--(OFFSET($E30,1,0):OFFSET($E34,-1,0)=BQ$4)*OFFSET($W30,1,0):OFFSET(BP34,-1,0))</f>
        <v>0</v>
      </c>
      <c r="BR64" s="68">
        <f ca="1">SUMPRODUCT(--(OFFSET($D30,1,0):OFFSET($D34,-1,0)="Y")*OFFSET($C30,1,0):OFFSET($C34,-1,0)*OFFSET(BR30,1,0):OFFSET(BR34,-1,0))-SUMPRODUCT(--(OFFSET($D30,1,0):OFFSET($D34,-1,0)="Y")*OFFSET($C30,1,0):OFFSET($C34,-1,0)*--(OFFSET($E30,1,0):OFFSET($E34,-1,0)=BR$4)*OFFSET($W30,1,0):OFFSET(BQ34,-1,0))</f>
        <v>0</v>
      </c>
      <c r="BS64" s="68">
        <f ca="1">SUMPRODUCT(--(OFFSET($D30,1,0):OFFSET($D34,-1,0)="Y")*OFFSET($C30,1,0):OFFSET($C34,-1,0)*OFFSET(BS30,1,0):OFFSET(BS34,-1,0))-SUMPRODUCT(--(OFFSET($D30,1,0):OFFSET($D34,-1,0)="Y")*OFFSET($C30,1,0):OFFSET($C34,-1,0)*--(OFFSET($E30,1,0):OFFSET($E34,-1,0)=BS$4)*OFFSET($W30,1,0):OFFSET(BR34,-1,0))</f>
        <v>0</v>
      </c>
    </row>
    <row r="65" spans="1:71" s="35" customFormat="1" x14ac:dyDescent="0.2">
      <c r="A65" s="47" t="s">
        <v>41</v>
      </c>
      <c r="B65" s="35" t="s">
        <v>110</v>
      </c>
      <c r="G65" s="35" t="str">
        <f>$G$36</f>
        <v>SG&amp;A and Other Overhead</v>
      </c>
      <c r="I65" s="50"/>
      <c r="V65" s="54">
        <f t="shared" ca="1" si="10"/>
        <v>142500</v>
      </c>
      <c r="X65" s="55">
        <f ca="1">SUMPRODUCT(--(OFFSET($D36,1,0):OFFSET($D38,-1,0)="Y")*OFFSET($C36,1,0):OFFSET($C38,-1,0)*OFFSET(X36,1,0):OFFSET(X38,-1,0))-SUMPRODUCT(--(OFFSET($D36,1,0):OFFSET($D38,-1,0)="Y")*OFFSET($C36,1,0):OFFSET($C38,-1,0)*--(OFFSET($E36,1,0):OFFSET($E38,-1,0)=X$4)*OFFSET($W36,1,0):OFFSET(W38,-1,0))</f>
        <v>0</v>
      </c>
      <c r="Y65" s="55">
        <f ca="1">SUMPRODUCT(--(OFFSET($D36,1,0):OFFSET($D38,-1,0)="Y")*OFFSET($C36,1,0):OFFSET($C38,-1,0)*OFFSET(Y36,1,0):OFFSET(Y38,-1,0))-SUMPRODUCT(--(OFFSET($D36,1,0):OFFSET($D38,-1,0)="Y")*OFFSET($C36,1,0):OFFSET($C38,-1,0)*--(OFFSET($E36,1,0):OFFSET($E38,-1,0)=Y$4)*OFFSET($W36,1,0):OFFSET(X38,-1,0))</f>
        <v>5700</v>
      </c>
      <c r="Z65" s="55">
        <f ca="1">SUMPRODUCT(--(OFFSET($D36,1,0):OFFSET($D38,-1,0)="Y")*OFFSET($C36,1,0):OFFSET($C38,-1,0)*OFFSET(Z36,1,0):OFFSET(Z38,-1,0))-SUMPRODUCT(--(OFFSET($D36,1,0):OFFSET($D38,-1,0)="Y")*OFFSET($C36,1,0):OFFSET($C38,-1,0)*--(OFFSET($E36,1,0):OFFSET($E38,-1,0)=Z$4)*OFFSET($W36,1,0):OFFSET(Y38,-1,0))</f>
        <v>5700</v>
      </c>
      <c r="AA65" s="55">
        <f ca="1">SUMPRODUCT(--(OFFSET($D36,1,0):OFFSET($D38,-1,0)="Y")*OFFSET($C36,1,0):OFFSET($C38,-1,0)*OFFSET(AA36,1,0):OFFSET(AA38,-1,0))-SUMPRODUCT(--(OFFSET($D36,1,0):OFFSET($D38,-1,0)="Y")*OFFSET($C36,1,0):OFFSET($C38,-1,0)*--(OFFSET($E36,1,0):OFFSET($E38,-1,0)=AA$4)*OFFSET($W36,1,0):OFFSET(Z38,-1,0))</f>
        <v>5700</v>
      </c>
      <c r="AB65" s="55">
        <f ca="1">SUMPRODUCT(--(OFFSET($D36,1,0):OFFSET($D38,-1,0)="Y")*OFFSET($C36,1,0):OFFSET($C38,-1,0)*OFFSET(AB36,1,0):OFFSET(AB38,-1,0))-SUMPRODUCT(--(OFFSET($D36,1,0):OFFSET($D38,-1,0)="Y")*OFFSET($C36,1,0):OFFSET($C38,-1,0)*--(OFFSET($E36,1,0):OFFSET($E38,-1,0)=AB$4)*OFFSET($W36,1,0):OFFSET(AA38,-1,0))</f>
        <v>5700</v>
      </c>
      <c r="AC65" s="55">
        <f ca="1">SUMPRODUCT(--(OFFSET($D36,1,0):OFFSET($D38,-1,0)="Y")*OFFSET($C36,1,0):OFFSET($C38,-1,0)*OFFSET(AC36,1,0):OFFSET(AC38,-1,0))-SUMPRODUCT(--(OFFSET($D36,1,0):OFFSET($D38,-1,0)="Y")*OFFSET($C36,1,0):OFFSET($C38,-1,0)*--(OFFSET($E36,1,0):OFFSET($E38,-1,0)=AC$4)*OFFSET($W36,1,0):OFFSET(AB38,-1,0))</f>
        <v>5700</v>
      </c>
      <c r="AD65" s="55">
        <f ca="1">SUMPRODUCT(--(OFFSET($D36,1,0):OFFSET($D38,-1,0)="Y")*OFFSET($C36,1,0):OFFSET($C38,-1,0)*OFFSET(AD36,1,0):OFFSET(AD38,-1,0))-SUMPRODUCT(--(OFFSET($D36,1,0):OFFSET($D38,-1,0)="Y")*OFFSET($C36,1,0):OFFSET($C38,-1,0)*--(OFFSET($E36,1,0):OFFSET($E38,-1,0)=AD$4)*OFFSET($W36,1,0):OFFSET(AC38,-1,0))</f>
        <v>5700</v>
      </c>
      <c r="AE65" s="55">
        <f ca="1">SUMPRODUCT(--(OFFSET($D36,1,0):OFFSET($D38,-1,0)="Y")*OFFSET($C36,1,0):OFFSET($C38,-1,0)*OFFSET(AE36,1,0):OFFSET(AE38,-1,0))-SUMPRODUCT(--(OFFSET($D36,1,0):OFFSET($D38,-1,0)="Y")*OFFSET($C36,1,0):OFFSET($C38,-1,0)*--(OFFSET($E36,1,0):OFFSET($E38,-1,0)=AE$4)*OFFSET($W36,1,0):OFFSET(AD38,-1,0))</f>
        <v>5700</v>
      </c>
      <c r="AF65" s="55">
        <f ca="1">SUMPRODUCT(--(OFFSET($D36,1,0):OFFSET($D38,-1,0)="Y")*OFFSET($C36,1,0):OFFSET($C38,-1,0)*OFFSET(AF36,1,0):OFFSET(AF38,-1,0))-SUMPRODUCT(--(OFFSET($D36,1,0):OFFSET($D38,-1,0)="Y")*OFFSET($C36,1,0):OFFSET($C38,-1,0)*--(OFFSET($E36,1,0):OFFSET($E38,-1,0)=AF$4)*OFFSET($W36,1,0):OFFSET(AE38,-1,0))</f>
        <v>5700</v>
      </c>
      <c r="AG65" s="55">
        <f ca="1">SUMPRODUCT(--(OFFSET($D36,1,0):OFFSET($D38,-1,0)="Y")*OFFSET($C36,1,0):OFFSET($C38,-1,0)*OFFSET(AG36,1,0):OFFSET(AG38,-1,0))-SUMPRODUCT(--(OFFSET($D36,1,0):OFFSET($D38,-1,0)="Y")*OFFSET($C36,1,0):OFFSET($C38,-1,0)*--(OFFSET($E36,1,0):OFFSET($E38,-1,0)=AG$4)*OFFSET($W36,1,0):OFFSET(AF38,-1,0))</f>
        <v>5700</v>
      </c>
      <c r="AH65" s="55">
        <f ca="1">SUMPRODUCT(--(OFFSET($D36,1,0):OFFSET($D38,-1,0)="Y")*OFFSET($C36,1,0):OFFSET($C38,-1,0)*OFFSET(AH36,1,0):OFFSET(AH38,-1,0))-SUMPRODUCT(--(OFFSET($D36,1,0):OFFSET($D38,-1,0)="Y")*OFFSET($C36,1,0):OFFSET($C38,-1,0)*--(OFFSET($E36,1,0):OFFSET($E38,-1,0)=AH$4)*OFFSET($W36,1,0):OFFSET(AG38,-1,0))</f>
        <v>5700</v>
      </c>
      <c r="AI65" s="55">
        <f ca="1">SUMPRODUCT(--(OFFSET($D36,1,0):OFFSET($D38,-1,0)="Y")*OFFSET($C36,1,0):OFFSET($C38,-1,0)*OFFSET(AI36,1,0):OFFSET(AI38,-1,0))-SUMPRODUCT(--(OFFSET($D36,1,0):OFFSET($D38,-1,0)="Y")*OFFSET($C36,1,0):OFFSET($C38,-1,0)*--(OFFSET($E36,1,0):OFFSET($E38,-1,0)=AI$4)*OFFSET($W36,1,0):OFFSET(AH38,-1,0))</f>
        <v>5700</v>
      </c>
      <c r="AJ65" s="55">
        <f ca="1">SUMPRODUCT(--(OFFSET($D36,1,0):OFFSET($D38,-1,0)="Y")*OFFSET($C36,1,0):OFFSET($C38,-1,0)*OFFSET(AJ36,1,0):OFFSET(AJ38,-1,0))-SUMPRODUCT(--(OFFSET($D36,1,0):OFFSET($D38,-1,0)="Y")*OFFSET($C36,1,0):OFFSET($C38,-1,0)*--(OFFSET($E36,1,0):OFFSET($E38,-1,0)=AJ$4)*OFFSET($W36,1,0):OFFSET(AI38,-1,0))</f>
        <v>5700</v>
      </c>
      <c r="AK65" s="55">
        <f ca="1">SUMPRODUCT(--(OFFSET($D36,1,0):OFFSET($D38,-1,0)="Y")*OFFSET($C36,1,0):OFFSET($C38,-1,0)*OFFSET(AK36,1,0):OFFSET(AK38,-1,0))-SUMPRODUCT(--(OFFSET($D36,1,0):OFFSET($D38,-1,0)="Y")*OFFSET($C36,1,0):OFFSET($C38,-1,0)*--(OFFSET($E36,1,0):OFFSET($E38,-1,0)=AK$4)*OFFSET($W36,1,0):OFFSET(AJ38,-1,0))</f>
        <v>5700</v>
      </c>
      <c r="AL65" s="55">
        <f ca="1">SUMPRODUCT(--(OFFSET($D36,1,0):OFFSET($D38,-1,0)="Y")*OFFSET($C36,1,0):OFFSET($C38,-1,0)*OFFSET(AL36,1,0):OFFSET(AL38,-1,0))-SUMPRODUCT(--(OFFSET($D36,1,0):OFFSET($D38,-1,0)="Y")*OFFSET($C36,1,0):OFFSET($C38,-1,0)*--(OFFSET($E36,1,0):OFFSET($E38,-1,0)=AL$4)*OFFSET($W36,1,0):OFFSET(AK38,-1,0))</f>
        <v>5700</v>
      </c>
      <c r="AM65" s="55">
        <f ca="1">SUMPRODUCT(--(OFFSET($D36,1,0):OFFSET($D38,-1,0)="Y")*OFFSET($C36,1,0):OFFSET($C38,-1,0)*OFFSET(AM36,1,0):OFFSET(AM38,-1,0))-SUMPRODUCT(--(OFFSET($D36,1,0):OFFSET($D38,-1,0)="Y")*OFFSET($C36,1,0):OFFSET($C38,-1,0)*--(OFFSET($E36,1,0):OFFSET($E38,-1,0)=AM$4)*OFFSET($W36,1,0):OFFSET(AL38,-1,0))</f>
        <v>5700</v>
      </c>
      <c r="AN65" s="55">
        <f ca="1">SUMPRODUCT(--(OFFSET($D36,1,0):OFFSET($D38,-1,0)="Y")*OFFSET($C36,1,0):OFFSET($C38,-1,0)*OFFSET(AN36,1,0):OFFSET(AN38,-1,0))-SUMPRODUCT(--(OFFSET($D36,1,0):OFFSET($D38,-1,0)="Y")*OFFSET($C36,1,0):OFFSET($C38,-1,0)*--(OFFSET($E36,1,0):OFFSET($E38,-1,0)=AN$4)*OFFSET($W36,1,0):OFFSET(AM38,-1,0))</f>
        <v>5700</v>
      </c>
      <c r="AO65" s="55">
        <f ca="1">SUMPRODUCT(--(OFFSET($D36,1,0):OFFSET($D38,-1,0)="Y")*OFFSET($C36,1,0):OFFSET($C38,-1,0)*OFFSET(AO36,1,0):OFFSET(AO38,-1,0))-SUMPRODUCT(--(OFFSET($D36,1,0):OFFSET($D38,-1,0)="Y")*OFFSET($C36,1,0):OFFSET($C38,-1,0)*--(OFFSET($E36,1,0):OFFSET($E38,-1,0)=AO$4)*OFFSET($W36,1,0):OFFSET(AN38,-1,0))</f>
        <v>5700</v>
      </c>
      <c r="AP65" s="55">
        <f ca="1">SUMPRODUCT(--(OFFSET($D36,1,0):OFFSET($D38,-1,0)="Y")*OFFSET($C36,1,0):OFFSET($C38,-1,0)*OFFSET(AP36,1,0):OFFSET(AP38,-1,0))-SUMPRODUCT(--(OFFSET($D36,1,0):OFFSET($D38,-1,0)="Y")*OFFSET($C36,1,0):OFFSET($C38,-1,0)*--(OFFSET($E36,1,0):OFFSET($E38,-1,0)=AP$4)*OFFSET($W36,1,0):OFFSET(AO38,-1,0))</f>
        <v>5700</v>
      </c>
      <c r="AQ65" s="55">
        <f ca="1">SUMPRODUCT(--(OFFSET($D36,1,0):OFFSET($D38,-1,0)="Y")*OFFSET($C36,1,0):OFFSET($C38,-1,0)*OFFSET(AQ36,1,0):OFFSET(AQ38,-1,0))-SUMPRODUCT(--(OFFSET($D36,1,0):OFFSET($D38,-1,0)="Y")*OFFSET($C36,1,0):OFFSET($C38,-1,0)*--(OFFSET($E36,1,0):OFFSET($E38,-1,0)=AQ$4)*OFFSET($W36,1,0):OFFSET(AP38,-1,0))</f>
        <v>5700</v>
      </c>
      <c r="AR65" s="55">
        <f ca="1">SUMPRODUCT(--(OFFSET($D36,1,0):OFFSET($D38,-1,0)="Y")*OFFSET($C36,1,0):OFFSET($C38,-1,0)*OFFSET(AR36,1,0):OFFSET(AR38,-1,0))-SUMPRODUCT(--(OFFSET($D36,1,0):OFFSET($D38,-1,0)="Y")*OFFSET($C36,1,0):OFFSET($C38,-1,0)*--(OFFSET($E36,1,0):OFFSET($E38,-1,0)=AR$4)*OFFSET($W36,1,0):OFFSET(AQ38,-1,0))</f>
        <v>5700</v>
      </c>
      <c r="AS65" s="55">
        <f ca="1">SUMPRODUCT(--(OFFSET($D36,1,0):OFFSET($D38,-1,0)="Y")*OFFSET($C36,1,0):OFFSET($C38,-1,0)*OFFSET(AS36,1,0):OFFSET(AS38,-1,0))-SUMPRODUCT(--(OFFSET($D36,1,0):OFFSET($D38,-1,0)="Y")*OFFSET($C36,1,0):OFFSET($C38,-1,0)*--(OFFSET($E36,1,0):OFFSET($E38,-1,0)=AS$4)*OFFSET($W36,1,0):OFFSET(AR38,-1,0))</f>
        <v>5700</v>
      </c>
      <c r="AT65" s="55">
        <f ca="1">SUMPRODUCT(--(OFFSET($D36,1,0):OFFSET($D38,-1,0)="Y")*OFFSET($C36,1,0):OFFSET($C38,-1,0)*OFFSET(AT36,1,0):OFFSET(AT38,-1,0))-SUMPRODUCT(--(OFFSET($D36,1,0):OFFSET($D38,-1,0)="Y")*OFFSET($C36,1,0):OFFSET($C38,-1,0)*--(OFFSET($E36,1,0):OFFSET($E38,-1,0)=AT$4)*OFFSET($W36,1,0):OFFSET(AS38,-1,0))</f>
        <v>5700</v>
      </c>
      <c r="AU65" s="55">
        <f ca="1">SUMPRODUCT(--(OFFSET($D36,1,0):OFFSET($D38,-1,0)="Y")*OFFSET($C36,1,0):OFFSET($C38,-1,0)*OFFSET(AU36,1,0):OFFSET(AU38,-1,0))-SUMPRODUCT(--(OFFSET($D36,1,0):OFFSET($D38,-1,0)="Y")*OFFSET($C36,1,0):OFFSET($C38,-1,0)*--(OFFSET($E36,1,0):OFFSET($E38,-1,0)=AU$4)*OFFSET($W36,1,0):OFFSET(AT38,-1,0))</f>
        <v>5700</v>
      </c>
      <c r="AV65" s="55">
        <f ca="1">SUMPRODUCT(--(OFFSET($D36,1,0):OFFSET($D38,-1,0)="Y")*OFFSET($C36,1,0):OFFSET($C38,-1,0)*OFFSET(AV36,1,0):OFFSET(AV38,-1,0))-SUMPRODUCT(--(OFFSET($D36,1,0):OFFSET($D38,-1,0)="Y")*OFFSET($C36,1,0):OFFSET($C38,-1,0)*--(OFFSET($E36,1,0):OFFSET($E38,-1,0)=AV$4)*OFFSET($W36,1,0):OFFSET(AU38,-1,0))</f>
        <v>5700</v>
      </c>
      <c r="AW65" s="55">
        <f ca="1">SUMPRODUCT(--(OFFSET($D36,1,0):OFFSET($D38,-1,0)="Y")*OFFSET($C36,1,0):OFFSET($C38,-1,0)*OFFSET(AW36,1,0):OFFSET(AW38,-1,0))-SUMPRODUCT(--(OFFSET($D36,1,0):OFFSET($D38,-1,0)="Y")*OFFSET($C36,1,0):OFFSET($C38,-1,0)*--(OFFSET($E36,1,0):OFFSET($E38,-1,0)=AW$4)*OFFSET($W36,1,0):OFFSET(AV38,-1,0))</f>
        <v>5700</v>
      </c>
      <c r="AX65" s="55">
        <f ca="1">SUMPRODUCT(--(OFFSET($D36,1,0):OFFSET($D38,-1,0)="Y")*OFFSET($C36,1,0):OFFSET($C38,-1,0)*OFFSET(AX36,1,0):OFFSET(AX38,-1,0))-SUMPRODUCT(--(OFFSET($D36,1,0):OFFSET($D38,-1,0)="Y")*OFFSET($C36,1,0):OFFSET($C38,-1,0)*--(OFFSET($E36,1,0):OFFSET($E38,-1,0)=AX$4)*OFFSET($W36,1,0):OFFSET(AW38,-1,0))</f>
        <v>0</v>
      </c>
      <c r="AY65" s="55">
        <f ca="1">SUMPRODUCT(--(OFFSET($D36,1,0):OFFSET($D38,-1,0)="Y")*OFFSET($C36,1,0):OFFSET($C38,-1,0)*OFFSET(AY36,1,0):OFFSET(AY38,-1,0))-SUMPRODUCT(--(OFFSET($D36,1,0):OFFSET($D38,-1,0)="Y")*OFFSET($C36,1,0):OFFSET($C38,-1,0)*--(OFFSET($E36,1,0):OFFSET($E38,-1,0)=AY$4)*OFFSET($W36,1,0):OFFSET(AX38,-1,0))</f>
        <v>0</v>
      </c>
      <c r="AZ65" s="55">
        <f ca="1">SUMPRODUCT(--(OFFSET($D36,1,0):OFFSET($D38,-1,0)="Y")*OFFSET($C36,1,0):OFFSET($C38,-1,0)*OFFSET(AZ36,1,0):OFFSET(AZ38,-1,0))-SUMPRODUCT(--(OFFSET($D36,1,0):OFFSET($D38,-1,0)="Y")*OFFSET($C36,1,0):OFFSET($C38,-1,0)*--(OFFSET($E36,1,0):OFFSET($E38,-1,0)=AZ$4)*OFFSET($W36,1,0):OFFSET(AY38,-1,0))</f>
        <v>0</v>
      </c>
      <c r="BA65" s="55">
        <f ca="1">SUMPRODUCT(--(OFFSET($D36,1,0):OFFSET($D38,-1,0)="Y")*OFFSET($C36,1,0):OFFSET($C38,-1,0)*OFFSET(BA36,1,0):OFFSET(BA38,-1,0))-SUMPRODUCT(--(OFFSET($D36,1,0):OFFSET($D38,-1,0)="Y")*OFFSET($C36,1,0):OFFSET($C38,-1,0)*--(OFFSET($E36,1,0):OFFSET($E38,-1,0)=BA$4)*OFFSET($W36,1,0):OFFSET(AZ38,-1,0))</f>
        <v>0</v>
      </c>
      <c r="BB65" s="55">
        <f ca="1">SUMPRODUCT(--(OFFSET($D36,1,0):OFFSET($D38,-1,0)="Y")*OFFSET($C36,1,0):OFFSET($C38,-1,0)*OFFSET(BB36,1,0):OFFSET(BB38,-1,0))-SUMPRODUCT(--(OFFSET($D36,1,0):OFFSET($D38,-1,0)="Y")*OFFSET($C36,1,0):OFFSET($C38,-1,0)*--(OFFSET($E36,1,0):OFFSET($E38,-1,0)=BB$4)*OFFSET($W36,1,0):OFFSET(BA38,-1,0))</f>
        <v>0</v>
      </c>
      <c r="BC65" s="55">
        <f ca="1">SUMPRODUCT(--(OFFSET($D36,1,0):OFFSET($D38,-1,0)="Y")*OFFSET($C36,1,0):OFFSET($C38,-1,0)*OFFSET(BC36,1,0):OFFSET(BC38,-1,0))-SUMPRODUCT(--(OFFSET($D36,1,0):OFFSET($D38,-1,0)="Y")*OFFSET($C36,1,0):OFFSET($C38,-1,0)*--(OFFSET($E36,1,0):OFFSET($E38,-1,0)=BC$4)*OFFSET($W36,1,0):OFFSET(BB38,-1,0))</f>
        <v>0</v>
      </c>
      <c r="BD65" s="55">
        <f ca="1">SUMPRODUCT(--(OFFSET($D36,1,0):OFFSET($D38,-1,0)="Y")*OFFSET($C36,1,0):OFFSET($C38,-1,0)*OFFSET(BD36,1,0):OFFSET(BD38,-1,0))-SUMPRODUCT(--(OFFSET($D36,1,0):OFFSET($D38,-1,0)="Y")*OFFSET($C36,1,0):OFFSET($C38,-1,0)*--(OFFSET($E36,1,0):OFFSET($E38,-1,0)=BD$4)*OFFSET($W36,1,0):OFFSET(BC38,-1,0))</f>
        <v>0</v>
      </c>
      <c r="BE65" s="55">
        <f ca="1">SUMPRODUCT(--(OFFSET($D36,1,0):OFFSET($D38,-1,0)="Y")*OFFSET($C36,1,0):OFFSET($C38,-1,0)*OFFSET(BE36,1,0):OFFSET(BE38,-1,0))-SUMPRODUCT(--(OFFSET($D36,1,0):OFFSET($D38,-1,0)="Y")*OFFSET($C36,1,0):OFFSET($C38,-1,0)*--(OFFSET($E36,1,0):OFFSET($E38,-1,0)=BE$4)*OFFSET($W36,1,0):OFFSET(BD38,-1,0))</f>
        <v>0</v>
      </c>
      <c r="BF65" s="55">
        <f ca="1">SUMPRODUCT(--(OFFSET($D36,1,0):OFFSET($D38,-1,0)="Y")*OFFSET($C36,1,0):OFFSET($C38,-1,0)*OFFSET(BF36,1,0):OFFSET(BF38,-1,0))-SUMPRODUCT(--(OFFSET($D36,1,0):OFFSET($D38,-1,0)="Y")*OFFSET($C36,1,0):OFFSET($C38,-1,0)*--(OFFSET($E36,1,0):OFFSET($E38,-1,0)=BF$4)*OFFSET($W36,1,0):OFFSET(BE38,-1,0))</f>
        <v>0</v>
      </c>
      <c r="BG65" s="55">
        <f ca="1">SUMPRODUCT(--(OFFSET($D36,1,0):OFFSET($D38,-1,0)="Y")*OFFSET($C36,1,0):OFFSET($C38,-1,0)*OFFSET(BG36,1,0):OFFSET(BG38,-1,0))-SUMPRODUCT(--(OFFSET($D36,1,0):OFFSET($D38,-1,0)="Y")*OFFSET($C36,1,0):OFFSET($C38,-1,0)*--(OFFSET($E36,1,0):OFFSET($E38,-1,0)=BG$4)*OFFSET($W36,1,0):OFFSET(BF38,-1,0))</f>
        <v>0</v>
      </c>
      <c r="BH65" s="55">
        <f ca="1">SUMPRODUCT(--(OFFSET($D36,1,0):OFFSET($D38,-1,0)="Y")*OFFSET($C36,1,0):OFFSET($C38,-1,0)*OFFSET(BH36,1,0):OFFSET(BH38,-1,0))-SUMPRODUCT(--(OFFSET($D36,1,0):OFFSET($D38,-1,0)="Y")*OFFSET($C36,1,0):OFFSET($C38,-1,0)*--(OFFSET($E36,1,0):OFFSET($E38,-1,0)=BH$4)*OFFSET($W36,1,0):OFFSET(BG38,-1,0))</f>
        <v>0</v>
      </c>
      <c r="BI65" s="55">
        <f ca="1">SUMPRODUCT(--(OFFSET($D36,1,0):OFFSET($D38,-1,0)="Y")*OFFSET($C36,1,0):OFFSET($C38,-1,0)*OFFSET(BI36,1,0):OFFSET(BI38,-1,0))-SUMPRODUCT(--(OFFSET($D36,1,0):OFFSET($D38,-1,0)="Y")*OFFSET($C36,1,0):OFFSET($C38,-1,0)*--(OFFSET($E36,1,0):OFFSET($E38,-1,0)=BI$4)*OFFSET($W36,1,0):OFFSET(BH38,-1,0))</f>
        <v>0</v>
      </c>
      <c r="BJ65" s="55">
        <f ca="1">SUMPRODUCT(--(OFFSET($D36,1,0):OFFSET($D38,-1,0)="Y")*OFFSET($C36,1,0):OFFSET($C38,-1,0)*OFFSET(BJ36,1,0):OFFSET(BJ38,-1,0))-SUMPRODUCT(--(OFFSET($D36,1,0):OFFSET($D38,-1,0)="Y")*OFFSET($C36,1,0):OFFSET($C38,-1,0)*--(OFFSET($E36,1,0):OFFSET($E38,-1,0)=BJ$4)*OFFSET($W36,1,0):OFFSET(BI38,-1,0))</f>
        <v>0</v>
      </c>
      <c r="BK65" s="55">
        <f ca="1">SUMPRODUCT(--(OFFSET($D36,1,0):OFFSET($D38,-1,0)="Y")*OFFSET($C36,1,0):OFFSET($C38,-1,0)*OFFSET(BK36,1,0):OFFSET(BK38,-1,0))-SUMPRODUCT(--(OFFSET($D36,1,0):OFFSET($D38,-1,0)="Y")*OFFSET($C36,1,0):OFFSET($C38,-1,0)*--(OFFSET($E36,1,0):OFFSET($E38,-1,0)=BK$4)*OFFSET($W36,1,0):OFFSET(BJ38,-1,0))</f>
        <v>0</v>
      </c>
      <c r="BL65" s="55">
        <f ca="1">SUMPRODUCT(--(OFFSET($D36,1,0):OFFSET($D38,-1,0)="Y")*OFFSET($C36,1,0):OFFSET($C38,-1,0)*OFFSET(BL36,1,0):OFFSET(BL38,-1,0))-SUMPRODUCT(--(OFFSET($D36,1,0):OFFSET($D38,-1,0)="Y")*OFFSET($C36,1,0):OFFSET($C38,-1,0)*--(OFFSET($E36,1,0):OFFSET($E38,-1,0)=BL$4)*OFFSET($W36,1,0):OFFSET(BK38,-1,0))</f>
        <v>0</v>
      </c>
      <c r="BM65" s="55">
        <f ca="1">SUMPRODUCT(--(OFFSET($D36,1,0):OFFSET($D38,-1,0)="Y")*OFFSET($C36,1,0):OFFSET($C38,-1,0)*OFFSET(BM36,1,0):OFFSET(BM38,-1,0))-SUMPRODUCT(--(OFFSET($D36,1,0):OFFSET($D38,-1,0)="Y")*OFFSET($C36,1,0):OFFSET($C38,-1,0)*--(OFFSET($E36,1,0):OFFSET($E38,-1,0)=BM$4)*OFFSET($W36,1,0):OFFSET(BL38,-1,0))</f>
        <v>0</v>
      </c>
      <c r="BN65" s="55">
        <f ca="1">SUMPRODUCT(--(OFFSET($D36,1,0):OFFSET($D38,-1,0)="Y")*OFFSET($C36,1,0):OFFSET($C38,-1,0)*OFFSET(BN36,1,0):OFFSET(BN38,-1,0))-SUMPRODUCT(--(OFFSET($D36,1,0):OFFSET($D38,-1,0)="Y")*OFFSET($C36,1,0):OFFSET($C38,-1,0)*--(OFFSET($E36,1,0):OFFSET($E38,-1,0)=BN$4)*OFFSET($W36,1,0):OFFSET(BM38,-1,0))</f>
        <v>0</v>
      </c>
      <c r="BO65" s="55">
        <f ca="1">SUMPRODUCT(--(OFFSET($D36,1,0):OFFSET($D38,-1,0)="Y")*OFFSET($C36,1,0):OFFSET($C38,-1,0)*OFFSET(BO36,1,0):OFFSET(BO38,-1,0))-SUMPRODUCT(--(OFFSET($D36,1,0):OFFSET($D38,-1,0)="Y")*OFFSET($C36,1,0):OFFSET($C38,-1,0)*--(OFFSET($E36,1,0):OFFSET($E38,-1,0)=BO$4)*OFFSET($W36,1,0):OFFSET(BN38,-1,0))</f>
        <v>0</v>
      </c>
      <c r="BP65" s="55">
        <f ca="1">SUMPRODUCT(--(OFFSET($D36,1,0):OFFSET($D38,-1,0)="Y")*OFFSET($C36,1,0):OFFSET($C38,-1,0)*OFFSET(BP36,1,0):OFFSET(BP38,-1,0))-SUMPRODUCT(--(OFFSET($D36,1,0):OFFSET($D38,-1,0)="Y")*OFFSET($C36,1,0):OFFSET($C38,-1,0)*--(OFFSET($E36,1,0):OFFSET($E38,-1,0)=BP$4)*OFFSET($W36,1,0):OFFSET(BO38,-1,0))</f>
        <v>0</v>
      </c>
      <c r="BQ65" s="55">
        <f ca="1">SUMPRODUCT(--(OFFSET($D36,1,0):OFFSET($D38,-1,0)="Y")*OFFSET($C36,1,0):OFFSET($C38,-1,0)*OFFSET(BQ36,1,0):OFFSET(BQ38,-1,0))-SUMPRODUCT(--(OFFSET($D36,1,0):OFFSET($D38,-1,0)="Y")*OFFSET($C36,1,0):OFFSET($C38,-1,0)*--(OFFSET($E36,1,0):OFFSET($E38,-1,0)=BQ$4)*OFFSET($W36,1,0):OFFSET(BP38,-1,0))</f>
        <v>0</v>
      </c>
      <c r="BR65" s="55">
        <f ca="1">SUMPRODUCT(--(OFFSET($D36,1,0):OFFSET($D38,-1,0)="Y")*OFFSET($C36,1,0):OFFSET($C38,-1,0)*OFFSET(BR36,1,0):OFFSET(BR38,-1,0))-SUMPRODUCT(--(OFFSET($D36,1,0):OFFSET($D38,-1,0)="Y")*OFFSET($C36,1,0):OFFSET($C38,-1,0)*--(OFFSET($E36,1,0):OFFSET($E38,-1,0)=BR$4)*OFFSET($W36,1,0):OFFSET(BQ38,-1,0))</f>
        <v>0</v>
      </c>
      <c r="BS65" s="55">
        <f ca="1">SUMPRODUCT(--(OFFSET($D36,1,0):OFFSET($D38,-1,0)="Y")*OFFSET($C36,1,0):OFFSET($C38,-1,0)*OFFSET(BS36,1,0):OFFSET(BS38,-1,0))-SUMPRODUCT(--(OFFSET($D36,1,0):OFFSET($D38,-1,0)="Y")*OFFSET($C36,1,0):OFFSET($C38,-1,0)*--(OFFSET($E36,1,0):OFFSET($E38,-1,0)=BS$4)*OFFSET($W36,1,0):OFFSET(BR38,-1,0))</f>
        <v>0</v>
      </c>
    </row>
    <row r="66" spans="1:71" s="38" customFormat="1" x14ac:dyDescent="0.2">
      <c r="A66" s="43" t="s">
        <v>41</v>
      </c>
      <c r="B66" s="57" t="s">
        <v>111</v>
      </c>
      <c r="G66" s="38" t="str">
        <f>"Total "&amp;G60</f>
        <v>Total Recoverable VAT</v>
      </c>
      <c r="I66" s="76"/>
      <c r="V66" s="59">
        <f t="shared" ca="1" si="10"/>
        <v>1235000.0000000002</v>
      </c>
      <c r="W66" s="57"/>
      <c r="X66" s="60">
        <f ca="1">SUBTOTAL(9,OFFSET(X60,1,0):OFFSET(X66,-1,0))</f>
        <v>0</v>
      </c>
      <c r="Y66" s="60">
        <f ca="1">SUBTOTAL(9,OFFSET(Y60,1,0):OFFSET(Y66,-1,0))</f>
        <v>5700</v>
      </c>
      <c r="Z66" s="60">
        <f ca="1">SUBTOTAL(9,OFFSET(Z60,1,0):OFFSET(Z66,-1,0))</f>
        <v>5700</v>
      </c>
      <c r="AA66" s="60">
        <f ca="1">SUBTOTAL(9,OFFSET(AA60,1,0):OFFSET(AA66,-1,0))</f>
        <v>5700</v>
      </c>
      <c r="AB66" s="60">
        <f ca="1">SUBTOTAL(9,OFFSET(AB60,1,0):OFFSET(AB66,-1,0))</f>
        <v>38841.848528939299</v>
      </c>
      <c r="AC66" s="60">
        <f ca="1">SUBTOTAL(9,OFFSET(AC60,1,0):OFFSET(AC66,-1,0))</f>
        <v>46383.183645147205</v>
      </c>
      <c r="AD66" s="60">
        <f ca="1">SUBTOTAL(9,OFFSET(AD60,1,0):OFFSET(AD66,-1,0))</f>
        <v>54350.127806690842</v>
      </c>
      <c r="AE66" s="60">
        <f ca="1">SUBTOTAL(9,OFFSET(AE60,1,0):OFFSET(AE66,-1,0))</f>
        <v>62350.24502410784</v>
      </c>
      <c r="AF66" s="60">
        <f ca="1">SUBTOTAL(9,OFFSET(AF60,1,0):OFFSET(AF66,-1,0))</f>
        <v>69909.308332318091</v>
      </c>
      <c r="AG66" s="60">
        <f ca="1">SUBTOTAL(9,OFFSET(AG60,1,0):OFFSET(AG66,-1,0))</f>
        <v>76512.922464293253</v>
      </c>
      <c r="AH66" s="60">
        <f ca="1">SUBTOTAL(9,OFFSET(AH60,1,0):OFFSET(AH66,-1,0))</f>
        <v>81662.827108911893</v>
      </c>
      <c r="AI66" s="60">
        <f ca="1">SUBTOTAL(9,OFFSET(AI60,1,0):OFFSET(AI66,-1,0))</f>
        <v>84940.33780761878</v>
      </c>
      <c r="AJ66" s="60">
        <f ca="1">SUBTOTAL(9,OFFSET(AJ60,1,0):OFFSET(AJ66,-1,0))</f>
        <v>86065.65053499295</v>
      </c>
      <c r="AK66" s="60">
        <f ca="1">SUBTOTAL(9,OFFSET(AK60,1,0):OFFSET(AK66,-1,0))</f>
        <v>84940.337807618766</v>
      </c>
      <c r="AL66" s="60">
        <f ca="1">SUBTOTAL(9,OFFSET(AL60,1,0):OFFSET(AL66,-1,0))</f>
        <v>81662.827108911923</v>
      </c>
      <c r="AM66" s="60">
        <f ca="1">SUBTOTAL(9,OFFSET(AM60,1,0):OFFSET(AM66,-1,0))</f>
        <v>76512.922464293239</v>
      </c>
      <c r="AN66" s="60">
        <f ca="1">SUBTOTAL(9,OFFSET(AN60,1,0):OFFSET(AN66,-1,0))</f>
        <v>69909.308332318091</v>
      </c>
      <c r="AO66" s="60">
        <f ca="1">SUBTOTAL(9,OFFSET(AO60,1,0):OFFSET(AO66,-1,0))</f>
        <v>62350.24502410787</v>
      </c>
      <c r="AP66" s="60">
        <f ca="1">SUBTOTAL(9,OFFSET(AP60,1,0):OFFSET(AP66,-1,0))</f>
        <v>54350.127806690827</v>
      </c>
      <c r="AQ66" s="60">
        <f ca="1">SUBTOTAL(9,OFFSET(AQ60,1,0):OFFSET(AQ66,-1,0))</f>
        <v>46383.183645147205</v>
      </c>
      <c r="AR66" s="60">
        <f ca="1">SUBTOTAL(9,OFFSET(AR60,1,0):OFFSET(AR66,-1,0))</f>
        <v>38841.848528939307</v>
      </c>
      <c r="AS66" s="60">
        <f ca="1">SUBTOTAL(9,OFFSET(AS60,1,0):OFFSET(AS66,-1,0))</f>
        <v>32013.080006969187</v>
      </c>
      <c r="AT66" s="60">
        <f ca="1">SUBTOTAL(9,OFFSET(AT60,1,0):OFFSET(AT66,-1,0))</f>
        <v>26072.173486176111</v>
      </c>
      <c r="AU66" s="60">
        <f ca="1">SUBTOTAL(9,OFFSET(AU60,1,0):OFFSET(AU66,-1,0))</f>
        <v>21091.040799019051</v>
      </c>
      <c r="AV66" s="60">
        <f ca="1">SUBTOTAL(9,OFFSET(AV60,1,0):OFFSET(AV66,-1,0))</f>
        <v>17056.45373678836</v>
      </c>
      <c r="AW66" s="60">
        <f ca="1">SUBTOTAL(9,OFFSET(AW60,1,0):OFFSET(AW66,-1,0))</f>
        <v>5700</v>
      </c>
      <c r="AX66" s="60">
        <f ca="1">SUBTOTAL(9,OFFSET(AX60,1,0):OFFSET(AX66,-1,0))</f>
        <v>0</v>
      </c>
      <c r="AY66" s="60">
        <f ca="1">SUBTOTAL(9,OFFSET(AY60,1,0):OFFSET(AY66,-1,0))</f>
        <v>0</v>
      </c>
      <c r="AZ66" s="60">
        <f ca="1">SUBTOTAL(9,OFFSET(AZ60,1,0):OFFSET(AZ66,-1,0))</f>
        <v>0</v>
      </c>
      <c r="BA66" s="60">
        <f ca="1">SUBTOTAL(9,OFFSET(BA60,1,0):OFFSET(BA66,-1,0))</f>
        <v>0</v>
      </c>
      <c r="BB66" s="60">
        <f ca="1">SUBTOTAL(9,OFFSET(BB60,1,0):OFFSET(BB66,-1,0))</f>
        <v>0</v>
      </c>
      <c r="BC66" s="60">
        <f ca="1">SUBTOTAL(9,OFFSET(BC60,1,0):OFFSET(BC66,-1,0))</f>
        <v>0</v>
      </c>
      <c r="BD66" s="60">
        <f ca="1">SUBTOTAL(9,OFFSET(BD60,1,0):OFFSET(BD66,-1,0))</f>
        <v>0</v>
      </c>
      <c r="BE66" s="60">
        <f ca="1">SUBTOTAL(9,OFFSET(BE60,1,0):OFFSET(BE66,-1,0))</f>
        <v>0</v>
      </c>
      <c r="BF66" s="60">
        <f ca="1">SUBTOTAL(9,OFFSET(BF60,1,0):OFFSET(BF66,-1,0))</f>
        <v>0</v>
      </c>
      <c r="BG66" s="60">
        <f ca="1">SUBTOTAL(9,OFFSET(BG60,1,0):OFFSET(BG66,-1,0))</f>
        <v>0</v>
      </c>
      <c r="BH66" s="60">
        <f ca="1">SUBTOTAL(9,OFFSET(BH60,1,0):OFFSET(BH66,-1,0))</f>
        <v>0</v>
      </c>
      <c r="BI66" s="60">
        <f ca="1">SUBTOTAL(9,OFFSET(BI60,1,0):OFFSET(BI66,-1,0))</f>
        <v>0</v>
      </c>
      <c r="BJ66" s="60">
        <f ca="1">SUBTOTAL(9,OFFSET(BJ60,1,0):OFFSET(BJ66,-1,0))</f>
        <v>0</v>
      </c>
      <c r="BK66" s="60">
        <f ca="1">SUBTOTAL(9,OFFSET(BK60,1,0):OFFSET(BK66,-1,0))</f>
        <v>0</v>
      </c>
      <c r="BL66" s="60">
        <f ca="1">SUBTOTAL(9,OFFSET(BL60,1,0):OFFSET(BL66,-1,0))</f>
        <v>0</v>
      </c>
      <c r="BM66" s="60">
        <f ca="1">SUBTOTAL(9,OFFSET(BM60,1,0):OFFSET(BM66,-1,0))</f>
        <v>0</v>
      </c>
      <c r="BN66" s="60">
        <f ca="1">SUBTOTAL(9,OFFSET(BN60,1,0):OFFSET(BN66,-1,0))</f>
        <v>0</v>
      </c>
      <c r="BO66" s="60">
        <f ca="1">SUBTOTAL(9,OFFSET(BO60,1,0):OFFSET(BO66,-1,0))</f>
        <v>0</v>
      </c>
      <c r="BP66" s="60">
        <f ca="1">SUBTOTAL(9,OFFSET(BP60,1,0):OFFSET(BP66,-1,0))</f>
        <v>0</v>
      </c>
      <c r="BQ66" s="60">
        <f ca="1">SUBTOTAL(9,OFFSET(BQ60,1,0):OFFSET(BQ66,-1,0))</f>
        <v>0</v>
      </c>
      <c r="BR66" s="60">
        <f ca="1">SUBTOTAL(9,OFFSET(BR60,1,0):OFFSET(BR66,-1,0))</f>
        <v>0</v>
      </c>
      <c r="BS66" s="60">
        <f ca="1">SUBTOTAL(9,OFFSET(BS60,1,0):OFFSET(BS66,-1,0))</f>
        <v>0</v>
      </c>
    </row>
    <row r="67" spans="1:71" x14ac:dyDescent="0.2">
      <c r="V67" s="69"/>
    </row>
    <row r="68" spans="1:71" s="99" customFormat="1" x14ac:dyDescent="0.2">
      <c r="A68" s="98" t="s">
        <v>39</v>
      </c>
      <c r="B68" s="99" t="s">
        <v>112</v>
      </c>
      <c r="G68" s="99" t="s">
        <v>113</v>
      </c>
      <c r="I68" s="100"/>
      <c r="Q68" s="101" t="s">
        <v>114</v>
      </c>
      <c r="R68" s="102">
        <v>3</v>
      </c>
      <c r="T68" s="99" t="s">
        <v>115</v>
      </c>
      <c r="U68" s="53">
        <f>X4</f>
        <v>44197</v>
      </c>
      <c r="V68" s="103">
        <f ca="1">SUM(X68:BS68)</f>
        <v>1139999.9999999998</v>
      </c>
      <c r="X68" s="104">
        <f ca="1">IF(AND(X$4&gt;=$U68,DATEDIF($U68,X$4,"M")/$R68=TRUNC(DATEDIF($U68,X$4,"M")/$R68)),IF(OR(SUM($W$58:W$58)-SUM($W$66:W$66)-SUM($W$68:W$68)&gt;0,AND(SUM(X58:BR58)=0,$V$58&lt;&gt;0)),SUM($W$58:W$58)-SUM($W$66:W$66)-SUM($W$68:W$68),0),0)</f>
        <v>0</v>
      </c>
      <c r="Y68" s="104">
        <f>IF(AND(Y$4&gt;=$U68,DATEDIF($U68,Y$4,"M")/$R68=TRUNC(DATEDIF($U68,Y$4,"M")/$R68)),IF(OR(SUM($W$58:X$58)-SUM($W$66:X$66)-SUM($W$68:X$68)&gt;0,AND(SUM(Y58:BS58)=0,$V$58&lt;&gt;0)),SUM($W$58:X$58)-SUM($W$66:X$66)-SUM($W$68:X$68),0),0)</f>
        <v>0</v>
      </c>
      <c r="Z68" s="104">
        <f>IF(AND(Z$4&gt;=$U68,DATEDIF($U68,Z$4,"M")/$R68=TRUNC(DATEDIF($U68,Z$4,"M")/$R68)),IF(OR(SUM($W$58:Y$58)-SUM($W$66:Y$66)-SUM($W$68:Y$68)&gt;0,AND(SUM(Z58:BT58)=0,$V$58&lt;&gt;0)),SUM($W$58:Y$58)-SUM($W$66:Y$66)-SUM($W$68:Y$68),0),0)</f>
        <v>0</v>
      </c>
      <c r="AA68" s="104">
        <f ca="1">IF(AND(AA$4&gt;=$U68,DATEDIF($U68,AA$4,"M")/$R68=TRUNC(DATEDIF($U68,AA$4,"M")/$R68)),IF(OR(SUM($W$58:Z$58)-SUM($W$66:Z$66)-SUM($W$68:Z$68)&gt;0,AND(SUM(AA58:BU58)=0,$V$58&lt;&gt;0)),SUM($W$58:Z$58)-SUM($W$66:Z$66)-SUM($W$68:Z$68),0),0)</f>
        <v>0</v>
      </c>
      <c r="AB68" s="104">
        <f>IF(AND(AB$4&gt;=$U68,DATEDIF($U68,AB$4,"M")/$R68=TRUNC(DATEDIF($U68,AB$4,"M")/$R68)),IF(OR(SUM($W$58:AA$58)-SUM($W$66:AA$66)-SUM($W$68:AA$68)&gt;0,AND(SUM(AB58:BV58)=0,$V$58&lt;&gt;0)),SUM($W$58:AA$58)-SUM($W$66:AA$66)-SUM($W$68:AA$68),0),0)</f>
        <v>0</v>
      </c>
      <c r="AC68" s="104">
        <f>IF(AND(AC$4&gt;=$U68,DATEDIF($U68,AC$4,"M")/$R68=TRUNC(DATEDIF($U68,AC$4,"M")/$R68)),IF(OR(SUM($W$58:AB$58)-SUM($W$66:AB$66)-SUM($W$68:AB$68)&gt;0,AND(SUM(AC58:BW58)=0,$V$58&lt;&gt;0)),SUM($W$58:AB$58)-SUM($W$66:AB$66)-SUM($W$68:AB$68),0),0)</f>
        <v>0</v>
      </c>
      <c r="AD68" s="104">
        <f ca="1">IF(AND(AD$4&gt;=$U68,DATEDIF($U68,AD$4,"M")/$R68=TRUNC(DATEDIF($U68,AD$4,"M")/$R68)),IF(OR(SUM($W$58:AC$58)-SUM($W$66:AC$66)-SUM($W$68:AC$68)&gt;0,AND(SUM(AD58:BX58)=0,$V$58&lt;&gt;0)),SUM($W$58:AC$58)-SUM($W$66:AC$66)-SUM($W$68:AC$68),0),0)</f>
        <v>0</v>
      </c>
      <c r="AE68" s="104">
        <f>IF(AND(AE$4&gt;=$U68,DATEDIF($U68,AE$4,"M")/$R68=TRUNC(DATEDIF($U68,AE$4,"M")/$R68)),IF(OR(SUM($W$58:AD$58)-SUM($W$66:AD$66)-SUM($W$68:AD$68)&gt;0,AND(SUM(AE58:BY58)=0,$V$58&lt;&gt;0)),SUM($W$58:AD$58)-SUM($W$66:AD$66)-SUM($W$68:AD$68),0),0)</f>
        <v>0</v>
      </c>
      <c r="AF68" s="104">
        <f>IF(AND(AF$4&gt;=$U68,DATEDIF($U68,AF$4,"M")/$R68=TRUNC(DATEDIF($U68,AF$4,"M")/$R68)),IF(OR(SUM($W$58:AE$58)-SUM($W$66:AE$66)-SUM($W$68:AE$68)&gt;0,AND(SUM(AF58:BZ58)=0,$V$58&lt;&gt;0)),SUM($W$58:AE$58)-SUM($W$66:AE$66)-SUM($W$68:AE$68),0),0)</f>
        <v>0</v>
      </c>
      <c r="AG68" s="104">
        <f ca="1">IF(AND(AG$4&gt;=$U68,DATEDIF($U68,AG$4,"M")/$R68=TRUNC(DATEDIF($U68,AG$4,"M")/$R68)),IF(OR(SUM($W$58:AF$58)-SUM($W$66:AF$66)-SUM($W$68:AF$68)&gt;0,AND(SUM(AG58:CA58)=0,$V$58&lt;&gt;0)),SUM($W$58:AF$58)-SUM($W$66:AF$66)-SUM($W$68:AF$68),0),0)</f>
        <v>0</v>
      </c>
      <c r="AH68" s="104">
        <f>IF(AND(AH$4&gt;=$U68,DATEDIF($U68,AH$4,"M")/$R68=TRUNC(DATEDIF($U68,AH$4,"M")/$R68)),IF(OR(SUM($W$58:AG$58)-SUM($W$66:AG$66)-SUM($W$68:AG$68)&gt;0,AND(SUM(AH58:CB58)=0,$V$58&lt;&gt;0)),SUM($W$58:AG$58)-SUM($W$66:AG$66)-SUM($W$68:AG$68),0),0)</f>
        <v>0</v>
      </c>
      <c r="AI68" s="104">
        <f>IF(AND(AI$4&gt;=$U68,DATEDIF($U68,AI$4,"M")/$R68=TRUNC(DATEDIF($U68,AI$4,"M")/$R68)),IF(OR(SUM($W$58:AH$58)-SUM($W$66:AH$66)-SUM($W$68:AH$68)&gt;0,AND(SUM(AI58:CC58)=0,$V$58&lt;&gt;0)),SUM($W$58:AH$58)-SUM($W$66:AH$66)-SUM($W$68:AH$68),0),0)</f>
        <v>0</v>
      </c>
      <c r="AJ68" s="104">
        <f ca="1">IF(AND(AJ$4&gt;=$U68,DATEDIF($U68,AJ$4,"M")/$R68=TRUNC(DATEDIF($U68,AJ$4,"M")/$R68)),IF(OR(SUM($W$58:AI$58)-SUM($W$66:AI$66)-SUM($W$68:AI$68)&gt;0,AND(SUM(AJ58:CD58)=0,$V$58&lt;&gt;0)),SUM($W$58:AI$58)-SUM($W$66:AI$66)-SUM($W$68:AI$68),0),0)</f>
        <v>0</v>
      </c>
      <c r="AK68" s="104">
        <f>IF(AND(AK$4&gt;=$U68,DATEDIF($U68,AK$4,"M")/$R68=TRUNC(DATEDIF($U68,AK$4,"M")/$R68)),IF(OR(SUM($W$58:AJ$58)-SUM($W$66:AJ$66)-SUM($W$68:AJ$68)&gt;0,AND(SUM(AK58:CE58)=0,$V$58&lt;&gt;0)),SUM($W$58:AJ$58)-SUM($W$66:AJ$66)-SUM($W$68:AJ$68),0),0)</f>
        <v>0</v>
      </c>
      <c r="AL68" s="104">
        <f>IF(AND(AL$4&gt;=$U68,DATEDIF($U68,AL$4,"M")/$R68=TRUNC(DATEDIF($U68,AL$4,"M")/$R68)),IF(OR(SUM($W$58:AK$58)-SUM($W$66:AK$66)-SUM($W$68:AK$68)&gt;0,AND(SUM(AL58:CF58)=0,$V$58&lt;&gt;0)),SUM($W$58:AK$58)-SUM($W$66:AK$66)-SUM($W$68:AK$68),0),0)</f>
        <v>0</v>
      </c>
      <c r="AM68" s="104">
        <f ca="1">IF(AND(AM$4&gt;=$U68,DATEDIF($U68,AM$4,"M")/$R68=TRUNC(DATEDIF($U68,AM$4,"M")/$R68)),IF(OR(SUM($W$58:AL$58)-SUM($W$66:AL$66)-SUM($W$68:AL$68)&gt;0,AND(SUM(AM58:CG58)=0,$V$58&lt;&gt;0)),SUM($W$58:AL$58)-SUM($W$66:AL$66)-SUM($W$68:AL$68),0),0)</f>
        <v>0</v>
      </c>
      <c r="AN68" s="104">
        <f>IF(AND(AN$4&gt;=$U68,DATEDIF($U68,AN$4,"M")/$R68=TRUNC(DATEDIF($U68,AN$4,"M")/$R68)),IF(OR(SUM($W$58:AM$58)-SUM($W$66:AM$66)-SUM($W$68:AM$68)&gt;0,AND(SUM(AN58:CH58)=0,$V$58&lt;&gt;0)),SUM($W$58:AM$58)-SUM($W$66:AM$66)-SUM($W$68:AM$68),0),0)</f>
        <v>0</v>
      </c>
      <c r="AO68" s="104">
        <f>IF(AND(AO$4&gt;=$U68,DATEDIF($U68,AO$4,"M")/$R68=TRUNC(DATEDIF($U68,AO$4,"M")/$R68)),IF(OR(SUM($W$58:AN$58)-SUM($W$66:AN$66)-SUM($W$68:AN$68)&gt;0,AND(SUM(AO58:CI58)=0,$V$58&lt;&gt;0)),SUM($W$58:AN$58)-SUM($W$66:AN$66)-SUM($W$68:AN$68),0),0)</f>
        <v>0</v>
      </c>
      <c r="AP68" s="104">
        <f ca="1">IF(AND(AP$4&gt;=$U68,DATEDIF($U68,AP$4,"M")/$R68=TRUNC(DATEDIF($U68,AP$4,"M")/$R68)),IF(OR(SUM($W$58:AO$58)-SUM($W$66:AO$66)-SUM($W$68:AO$68)&gt;0,AND(SUM(AP58:CJ58)=0,$V$58&lt;&gt;0)),SUM($W$58:AO$58)-SUM($W$66:AO$66)-SUM($W$68:AO$68),0),0)</f>
        <v>0</v>
      </c>
      <c r="AQ68" s="104">
        <f>IF(AND(AQ$4&gt;=$U68,DATEDIF($U68,AQ$4,"M")/$R68=TRUNC(DATEDIF($U68,AQ$4,"M")/$R68)),IF(OR(SUM($W$58:AP$58)-SUM($W$66:AP$66)-SUM($W$68:AP$68)&gt;0,AND(SUM(AQ58:CK58)=0,$V$58&lt;&gt;0)),SUM($W$58:AP$58)-SUM($W$66:AP$66)-SUM($W$68:AP$68),0),0)</f>
        <v>0</v>
      </c>
      <c r="AR68" s="104">
        <f>IF(AND(AR$4&gt;=$U68,DATEDIF($U68,AR$4,"M")/$R68=TRUNC(DATEDIF($U68,AR$4,"M")/$R68)),IF(OR(SUM($W$58:AQ$58)-SUM($W$66:AQ$66)-SUM($W$68:AQ$68)&gt;0,AND(SUM(AR58:CL58)=0,$V$58&lt;&gt;0)),SUM($W$58:AQ$58)-SUM($W$66:AQ$66)-SUM($W$68:AQ$68),0),0)</f>
        <v>0</v>
      </c>
      <c r="AS68" s="104">
        <f ca="1">IF(AND(AS$4&gt;=$U68,DATEDIF($U68,AS$4,"M")/$R68=TRUNC(DATEDIF($U68,AS$4,"M")/$R68)),IF(OR(SUM($W$58:AR$58)-SUM($W$66:AR$66)-SUM($W$68:AR$68)&gt;0,AND(SUM(AS58:CM58)=0,$V$58&lt;&gt;0)),SUM($W$58:AR$58)-SUM($W$66:AR$66)-SUM($W$68:AR$68),0),0)</f>
        <v>0</v>
      </c>
      <c r="AT68" s="104">
        <f>IF(AND(AT$4&gt;=$U68,DATEDIF($U68,AT$4,"M")/$R68=TRUNC(DATEDIF($U68,AT$4,"M")/$R68)),IF(OR(SUM($W$58:AS$58)-SUM($W$66:AS$66)-SUM($W$68:AS$68)&gt;0,AND(SUM(AT58:CN58)=0,$V$58&lt;&gt;0)),SUM($W$58:AS$58)-SUM($W$66:AS$66)-SUM($W$68:AS$68),0),0)</f>
        <v>0</v>
      </c>
      <c r="AU68" s="104">
        <f>IF(AND(AU$4&gt;=$U68,DATEDIF($U68,AU$4,"M")/$R68=TRUNC(DATEDIF($U68,AU$4,"M")/$R68)),IF(OR(SUM($W$58:AT$58)-SUM($W$66:AT$66)-SUM($W$68:AT$68)&gt;0,AND(SUM(AU58:CO58)=0,$V$58&lt;&gt;0)),SUM($W$58:AT$58)-SUM($W$66:AT$66)-SUM($W$68:AT$68),0),0)</f>
        <v>0</v>
      </c>
      <c r="AV68" s="104">
        <f ca="1">IF(AND(AV$4&gt;=$U68,DATEDIF($U68,AV$4,"M")/$R68=TRUNC(DATEDIF($U68,AV$4,"M")/$R68)),IF(OR(SUM($W$58:AU$58)-SUM($W$66:AU$66)-SUM($W$68:AU$68)&gt;0,AND(SUM(AV58:CP58)=0,$V$58&lt;&gt;0)),SUM($W$58:AU$58)-SUM($W$66:AU$66)-SUM($W$68:AU$68),0),0)</f>
        <v>0</v>
      </c>
      <c r="AW68" s="104">
        <f>IF(AND(AW$4&gt;=$U68,DATEDIF($U68,AW$4,"M")/$R68=TRUNC(DATEDIF($U68,AW$4,"M")/$R68)),IF(OR(SUM($W$58:AV$58)-SUM($W$66:AV$66)-SUM($W$68:AV$68)&gt;0,AND(SUM(AW58:CQ58)=0,$V$58&lt;&gt;0)),SUM($W$58:AV$58)-SUM($W$66:AV$66)-SUM($W$68:AV$68),0),0)</f>
        <v>0</v>
      </c>
      <c r="AX68" s="104">
        <f>IF(AND(AX$4&gt;=$U68,DATEDIF($U68,AX$4,"M")/$R68=TRUNC(DATEDIF($U68,AX$4,"M")/$R68)),IF(OR(SUM($W$58:AW$58)-SUM($W$66:AW$66)-SUM($W$68:AW$68)&gt;0,AND(SUM(AX58:CR58)=0,$V$58&lt;&gt;0)),SUM($W$58:AW$58)-SUM($W$66:AW$66)-SUM($W$68:AW$68),0),0)</f>
        <v>0</v>
      </c>
      <c r="AY68" s="104">
        <f ca="1">IF(AND(AY$4&gt;=$U68,DATEDIF($U68,AY$4,"M")/$R68=TRUNC(DATEDIF($U68,AY$4,"M")/$R68)),IF(OR(SUM($W$58:AX$58)-SUM($W$66:AX$66)-SUM($W$68:AX$68)&gt;0,AND(SUM(AY58:CS58)=0,$V$58&lt;&gt;0)),SUM($W$58:AX$58)-SUM($W$66:AX$66)-SUM($W$68:AX$68),0),0)</f>
        <v>1139999.9999999998</v>
      </c>
      <c r="AZ68" s="104">
        <f>IF(AND(AZ$4&gt;=$U68,DATEDIF($U68,AZ$4,"M")/$R68=TRUNC(DATEDIF($U68,AZ$4,"M")/$R68)),IF(OR(SUM($W$58:AY$58)-SUM($W$66:AY$66)-SUM($W$68:AY$68)&gt;0,AND(SUM(AZ58:CT58)=0,$V$58&lt;&gt;0)),SUM($W$58:AY$58)-SUM($W$66:AY$66)-SUM($W$68:AY$68),0),0)</f>
        <v>0</v>
      </c>
      <c r="BA68" s="104">
        <f>IF(AND(BA$4&gt;=$U68,DATEDIF($U68,BA$4,"M")/$R68=TRUNC(DATEDIF($U68,BA$4,"M")/$R68)),IF(OR(SUM($W$58:AZ$58)-SUM($W$66:AZ$66)-SUM($W$68:AZ$68)&gt;0,AND(SUM(BA58:CU58)=0,$V$58&lt;&gt;0)),SUM($W$58:AZ$58)-SUM($W$66:AZ$66)-SUM($W$68:AZ$68),0),0)</f>
        <v>0</v>
      </c>
      <c r="BB68" s="104">
        <f ca="1">IF(AND(BB$4&gt;=$U68,DATEDIF($U68,BB$4,"M")/$R68=TRUNC(DATEDIF($U68,BB$4,"M")/$R68)),IF(OR(SUM($W$58:BA$58)-SUM($W$66:BA$66)-SUM($W$68:BA$68)&gt;0,AND(SUM(BB58:CV58)=0,$V$58&lt;&gt;0)),SUM($W$58:BA$58)-SUM($W$66:BA$66)-SUM($W$68:BA$68),0),0)</f>
        <v>0</v>
      </c>
      <c r="BC68" s="104">
        <f>IF(AND(BC$4&gt;=$U68,DATEDIF($U68,BC$4,"M")/$R68=TRUNC(DATEDIF($U68,BC$4,"M")/$R68)),IF(OR(SUM($W$58:BB$58)-SUM($W$66:BB$66)-SUM($W$68:BB$68)&gt;0,AND(SUM(BC58:CW58)=0,$V$58&lt;&gt;0)),SUM($W$58:BB$58)-SUM($W$66:BB$66)-SUM($W$68:BB$68),0),0)</f>
        <v>0</v>
      </c>
      <c r="BD68" s="104">
        <f>IF(AND(BD$4&gt;=$U68,DATEDIF($U68,BD$4,"M")/$R68=TRUNC(DATEDIF($U68,BD$4,"M")/$R68)),IF(OR(SUM($W$58:BC$58)-SUM($W$66:BC$66)-SUM($W$68:BC$68)&gt;0,AND(SUM(BD58:CX58)=0,$V$58&lt;&gt;0)),SUM($W$58:BC$58)-SUM($W$66:BC$66)-SUM($W$68:BC$68),0),0)</f>
        <v>0</v>
      </c>
      <c r="BE68" s="104">
        <f ca="1">IF(AND(BE$4&gt;=$U68,DATEDIF($U68,BE$4,"M")/$R68=TRUNC(DATEDIF($U68,BE$4,"M")/$R68)),IF(OR(SUM($W$58:BD$58)-SUM($W$66:BD$66)-SUM($W$68:BD$68)&gt;0,AND(SUM(BE58:CY58)=0,$V$58&lt;&gt;0)),SUM($W$58:BD$58)-SUM($W$66:BD$66)-SUM($W$68:BD$68),0),0)</f>
        <v>0</v>
      </c>
      <c r="BF68" s="104">
        <f>IF(AND(BF$4&gt;=$U68,DATEDIF($U68,BF$4,"M")/$R68=TRUNC(DATEDIF($U68,BF$4,"M")/$R68)),IF(OR(SUM($W$58:BE$58)-SUM($W$66:BE$66)-SUM($W$68:BE$68)&gt;0,AND(SUM(BF58:CZ58)=0,$V$58&lt;&gt;0)),SUM($W$58:BE$58)-SUM($W$66:BE$66)-SUM($W$68:BE$68),0),0)</f>
        <v>0</v>
      </c>
      <c r="BG68" s="104">
        <f>IF(AND(BG$4&gt;=$U68,DATEDIF($U68,BG$4,"M")/$R68=TRUNC(DATEDIF($U68,BG$4,"M")/$R68)),IF(OR(SUM($W$58:BF$58)-SUM($W$66:BF$66)-SUM($W$68:BF$68)&gt;0,AND(SUM(BG58:DA58)=0,$V$58&lt;&gt;0)),SUM($W$58:BF$58)-SUM($W$66:BF$66)-SUM($W$68:BF$68),0),0)</f>
        <v>0</v>
      </c>
      <c r="BH68" s="104">
        <f ca="1">IF(AND(BH$4&gt;=$U68,DATEDIF($U68,BH$4,"M")/$R68=TRUNC(DATEDIF($U68,BH$4,"M")/$R68)),IF(OR(SUM($W$58:BG$58)-SUM($W$66:BG$66)-SUM($W$68:BG$68)&gt;0,AND(SUM(BH58:DB58)=0,$V$58&lt;&gt;0)),SUM($W$58:BG$58)-SUM($W$66:BG$66)-SUM($W$68:BG$68),0),0)</f>
        <v>0</v>
      </c>
      <c r="BI68" s="104">
        <f>IF(AND(BI$4&gt;=$U68,DATEDIF($U68,BI$4,"M")/$R68=TRUNC(DATEDIF($U68,BI$4,"M")/$R68)),IF(OR(SUM($W$58:BH$58)-SUM($W$66:BH$66)-SUM($W$68:BH$68)&gt;0,AND(SUM(BI58:DC58)=0,$V$58&lt;&gt;0)),SUM($W$58:BH$58)-SUM($W$66:BH$66)-SUM($W$68:BH$68),0),0)</f>
        <v>0</v>
      </c>
      <c r="BJ68" s="104">
        <f>IF(AND(BJ$4&gt;=$U68,DATEDIF($U68,BJ$4,"M")/$R68=TRUNC(DATEDIF($U68,BJ$4,"M")/$R68)),IF(OR(SUM($W$58:BI$58)-SUM($W$66:BI$66)-SUM($W$68:BI$68)&gt;0,AND(SUM(BJ58:DD58)=0,$V$58&lt;&gt;0)),SUM($W$58:BI$58)-SUM($W$66:BI$66)-SUM($W$68:BI$68),0),0)</f>
        <v>0</v>
      </c>
      <c r="BK68" s="104">
        <f ca="1">IF(AND(BK$4&gt;=$U68,DATEDIF($U68,BK$4,"M")/$R68=TRUNC(DATEDIF($U68,BK$4,"M")/$R68)),IF(OR(SUM($W$58:BJ$58)-SUM($W$66:BJ$66)-SUM($W$68:BJ$68)&gt;0,AND(SUM(BK58:DE58)=0,$V$58&lt;&gt;0)),SUM($W$58:BJ$58)-SUM($W$66:BJ$66)-SUM($W$68:BJ$68),0),0)</f>
        <v>0</v>
      </c>
      <c r="BL68" s="104">
        <f>IF(AND(BL$4&gt;=$U68,DATEDIF($U68,BL$4,"M")/$R68=TRUNC(DATEDIF($U68,BL$4,"M")/$R68)),IF(OR(SUM($W$58:BK$58)-SUM($W$66:BK$66)-SUM($W$68:BK$68)&gt;0,AND(SUM(BL58:DF58)=0,$V$58&lt;&gt;0)),SUM($W$58:BK$58)-SUM($W$66:BK$66)-SUM($W$68:BK$68),0),0)</f>
        <v>0</v>
      </c>
      <c r="BM68" s="104">
        <f>IF(AND(BM$4&gt;=$U68,DATEDIF($U68,BM$4,"M")/$R68=TRUNC(DATEDIF($U68,BM$4,"M")/$R68)),IF(OR(SUM($W$58:BL$58)-SUM($W$66:BL$66)-SUM($W$68:BL$68)&gt;0,AND(SUM(BM58:DG58)=0,$V$58&lt;&gt;0)),SUM($W$58:BL$58)-SUM($W$66:BL$66)-SUM($W$68:BL$68),0),0)</f>
        <v>0</v>
      </c>
      <c r="BN68" s="104">
        <f ca="1">IF(AND(BN$4&gt;=$U68,DATEDIF($U68,BN$4,"M")/$R68=TRUNC(DATEDIF($U68,BN$4,"M")/$R68)),IF(OR(SUM($W$58:BM$58)-SUM($W$66:BM$66)-SUM($W$68:BM$68)&gt;0,AND(SUM(BN58:DH58)=0,$V$58&lt;&gt;0)),SUM($W$58:BM$58)-SUM($W$66:BM$66)-SUM($W$68:BM$68),0),0)</f>
        <v>0</v>
      </c>
      <c r="BO68" s="104">
        <f>IF(AND(BO$4&gt;=$U68,DATEDIF($U68,BO$4,"M")/$R68=TRUNC(DATEDIF($U68,BO$4,"M")/$R68)),IF(OR(SUM($W$58:BN$58)-SUM($W$66:BN$66)-SUM($W$68:BN$68)&gt;0,AND(SUM(BO58:DI58)=0,$V$58&lt;&gt;0)),SUM($W$58:BN$58)-SUM($W$66:BN$66)-SUM($W$68:BN$68),0),0)</f>
        <v>0</v>
      </c>
      <c r="BP68" s="104">
        <f>IF(AND(BP$4&gt;=$U68,DATEDIF($U68,BP$4,"M")/$R68=TRUNC(DATEDIF($U68,BP$4,"M")/$R68)),IF(OR(SUM($W$58:BO$58)-SUM($W$66:BO$66)-SUM($W$68:BO$68)&gt;0,AND(SUM(BP58:DJ58)=0,$V$58&lt;&gt;0)),SUM($W$58:BO$58)-SUM($W$66:BO$66)-SUM($W$68:BO$68),0),0)</f>
        <v>0</v>
      </c>
      <c r="BQ68" s="104">
        <f ca="1">IF(AND(BQ$4&gt;=$U68,DATEDIF($U68,BQ$4,"M")/$R68=TRUNC(DATEDIF($U68,BQ$4,"M")/$R68)),IF(OR(SUM($W$58:BP$58)-SUM($W$66:BP$66)-SUM($W$68:BP$68)&gt;0,AND(SUM(BQ58:DK58)=0,$V$58&lt;&gt;0)),SUM($W$58:BP$58)-SUM($W$66:BP$66)-SUM($W$68:BP$68),0),0)</f>
        <v>0</v>
      </c>
      <c r="BR68" s="104">
        <f>IF(AND(BR$4&gt;=$U68,DATEDIF($U68,BR$4,"M")/$R68=TRUNC(DATEDIF($U68,BR$4,"M")/$R68)),IF(OR(SUM($W$58:BQ$58)-SUM($W$66:BQ$66)-SUM($W$68:BQ$68)&gt;0,AND(SUM(BR58:DL58)=0,$V$58&lt;&gt;0)),SUM($W$58:BQ$58)-SUM($W$66:BQ$66)-SUM($W$68:BQ$68),0),0)</f>
        <v>0</v>
      </c>
      <c r="BS68" s="104">
        <f>IF(AND(BS$4&gt;=$U68,DATEDIF($U68,BS$4,"M")/$R68=TRUNC(DATEDIF($U68,BS$4,"M")/$R68)),IF(OR(SUM($W$58:BR$58)-SUM($W$66:BR$66)-SUM($W$68:BR$68)&gt;0,AND(SUM(BS58:DM58)=0,$V$58&lt;&gt;0)),SUM($W$58:BR$58)-SUM($W$66:BR$66)-SUM($W$68:BR$68),0),0)</f>
        <v>0</v>
      </c>
    </row>
    <row r="69" spans="1:71" x14ac:dyDescent="0.2">
      <c r="G69" s="105" t="str">
        <f>G70</f>
        <v>Unlevered Cash Flow</v>
      </c>
      <c r="V69" s="69"/>
    </row>
    <row r="70" spans="1:71" s="63" customFormat="1" x14ac:dyDescent="0.2">
      <c r="A70" s="62" t="s">
        <v>37</v>
      </c>
      <c r="B70" s="63" t="s">
        <v>116</v>
      </c>
      <c r="G70" s="63" t="s">
        <v>117</v>
      </c>
      <c r="I70" s="65"/>
      <c r="R70" s="95" t="s">
        <v>91</v>
      </c>
      <c r="S70" s="96">
        <f ca="1">-V70/MIN(X71:BS71)</f>
        <v>0.44235924932975873</v>
      </c>
      <c r="T70" s="95" t="s">
        <v>92</v>
      </c>
      <c r="U70" s="96">
        <f t="array" aca="1" ref="U70" ca="1">((1+IRR(OFFSET($W70,,MATCH(TRUE,$X70:$BS70&lt;&gt;0,0)):OFFSET($W70,,MATCH($V71,$X71:$BS71,0)),10%))^12)-1</f>
        <v>0.3460042278886617</v>
      </c>
      <c r="V70" s="66">
        <f ca="1">SUM(X70:BS70)</f>
        <v>3300000</v>
      </c>
      <c r="X70" s="67">
        <f t="shared" ref="X70:BS70" ca="1" si="11">X43-X54+X58-X68</f>
        <v>0</v>
      </c>
      <c r="Y70" s="67">
        <f t="shared" ca="1" si="11"/>
        <v>-176633.33333333331</v>
      </c>
      <c r="Z70" s="67">
        <f t="shared" ca="1" si="11"/>
        <v>-326633.33333333337</v>
      </c>
      <c r="AA70" s="67">
        <f t="shared" ca="1" si="11"/>
        <v>-196633.33333333331</v>
      </c>
      <c r="AB70" s="67">
        <f t="shared" ca="1" si="11"/>
        <v>-404205.96359353204</v>
      </c>
      <c r="AC70" s="67">
        <f t="shared" ca="1" si="11"/>
        <v>-451438.53616346576</v>
      </c>
      <c r="AD70" s="67">
        <f t="shared" ca="1" si="11"/>
        <v>-501336.76538576547</v>
      </c>
      <c r="AE70" s="67">
        <f t="shared" ca="1" si="11"/>
        <v>-468109.42936151754</v>
      </c>
      <c r="AF70" s="67">
        <f t="shared" ca="1" si="11"/>
        <v>-515453.03639715019</v>
      </c>
      <c r="AG70" s="67">
        <f t="shared" ca="1" si="11"/>
        <v>-556812.51438162616</v>
      </c>
      <c r="AH70" s="67">
        <f t="shared" ca="1" si="11"/>
        <v>-589067.1803137114</v>
      </c>
      <c r="AI70" s="67">
        <f t="shared" ca="1" si="11"/>
        <v>-609594.74732140184</v>
      </c>
      <c r="AJ70" s="67">
        <f t="shared" ca="1" si="11"/>
        <v>-616642.75861390319</v>
      </c>
      <c r="AK70" s="67">
        <f t="shared" ca="1" si="11"/>
        <v>-609594.74732140172</v>
      </c>
      <c r="AL70" s="67">
        <f t="shared" ca="1" si="11"/>
        <v>2385932.8196862885</v>
      </c>
      <c r="AM70" s="67">
        <f t="shared" ca="1" si="11"/>
        <v>-556812.51438162604</v>
      </c>
      <c r="AN70" s="67">
        <f t="shared" ca="1" si="11"/>
        <v>-515453.03639715019</v>
      </c>
      <c r="AO70" s="67">
        <f t="shared" ca="1" si="11"/>
        <v>-468109.42936151772</v>
      </c>
      <c r="AP70" s="67">
        <f t="shared" ca="1" si="11"/>
        <v>-418003.43205243198</v>
      </c>
      <c r="AQ70" s="67">
        <f t="shared" ca="1" si="11"/>
        <v>-368105.20283013245</v>
      </c>
      <c r="AR70" s="67">
        <f t="shared" ca="1" si="11"/>
        <v>-320872.63026019873</v>
      </c>
      <c r="AS70" s="67">
        <f t="shared" ca="1" si="11"/>
        <v>-278102.9747804912</v>
      </c>
      <c r="AT70" s="67">
        <f t="shared" ca="1" si="11"/>
        <v>-390894.13920289249</v>
      </c>
      <c r="AU70" s="67">
        <f t="shared" ca="1" si="11"/>
        <v>-209696.51868859294</v>
      </c>
      <c r="AV70" s="67">
        <f t="shared" ca="1" si="11"/>
        <v>-184427.26287777972</v>
      </c>
      <c r="AW70" s="67">
        <f t="shared" ca="1" si="11"/>
        <v>-113300</v>
      </c>
      <c r="AX70" s="67">
        <f t="shared" ca="1" si="11"/>
        <v>11900000</v>
      </c>
      <c r="AY70" s="67">
        <f t="shared" ca="1" si="11"/>
        <v>-1139999.9999999998</v>
      </c>
      <c r="AZ70" s="67">
        <f t="shared" ca="1" si="11"/>
        <v>0</v>
      </c>
      <c r="BA70" s="67">
        <f t="shared" ca="1" si="11"/>
        <v>0</v>
      </c>
      <c r="BB70" s="67">
        <f t="shared" ca="1" si="11"/>
        <v>0</v>
      </c>
      <c r="BC70" s="67">
        <f t="shared" ca="1" si="11"/>
        <v>0</v>
      </c>
      <c r="BD70" s="67">
        <f t="shared" ca="1" si="11"/>
        <v>0</v>
      </c>
      <c r="BE70" s="67">
        <f t="shared" ca="1" si="11"/>
        <v>0</v>
      </c>
      <c r="BF70" s="67">
        <f t="shared" ca="1" si="11"/>
        <v>0</v>
      </c>
      <c r="BG70" s="67">
        <f t="shared" ca="1" si="11"/>
        <v>0</v>
      </c>
      <c r="BH70" s="67">
        <f t="shared" ca="1" si="11"/>
        <v>0</v>
      </c>
      <c r="BI70" s="67">
        <f t="shared" ca="1" si="11"/>
        <v>0</v>
      </c>
      <c r="BJ70" s="67">
        <f t="shared" ca="1" si="11"/>
        <v>0</v>
      </c>
      <c r="BK70" s="67">
        <f t="shared" ca="1" si="11"/>
        <v>0</v>
      </c>
      <c r="BL70" s="67">
        <f t="shared" ca="1" si="11"/>
        <v>0</v>
      </c>
      <c r="BM70" s="67">
        <f t="shared" ca="1" si="11"/>
        <v>0</v>
      </c>
      <c r="BN70" s="67">
        <f t="shared" ca="1" si="11"/>
        <v>0</v>
      </c>
      <c r="BO70" s="67">
        <f t="shared" ca="1" si="11"/>
        <v>0</v>
      </c>
      <c r="BP70" s="67">
        <f t="shared" ca="1" si="11"/>
        <v>0</v>
      </c>
      <c r="BQ70" s="67">
        <f t="shared" ca="1" si="11"/>
        <v>0</v>
      </c>
      <c r="BR70" s="67">
        <f t="shared" ca="1" si="11"/>
        <v>0</v>
      </c>
      <c r="BS70" s="67">
        <f t="shared" ca="1" si="11"/>
        <v>0</v>
      </c>
    </row>
    <row r="71" spans="1:71" s="89" customFormat="1" x14ac:dyDescent="0.2">
      <c r="A71" s="88" t="s">
        <v>41</v>
      </c>
      <c r="B71" s="89" t="s">
        <v>118</v>
      </c>
      <c r="G71" s="89" t="str">
        <f>"Cumulative "&amp;G70</f>
        <v>Cumulative Unlevered Cash Flow</v>
      </c>
      <c r="I71" s="90"/>
      <c r="R71" s="106"/>
      <c r="T71" s="92"/>
      <c r="U71" s="92"/>
      <c r="V71" s="91">
        <f ca="1">$BS71</f>
        <v>3300000</v>
      </c>
      <c r="X71" s="92">
        <f t="shared" ref="X71:BS71" ca="1" si="12">W71+X70</f>
        <v>0</v>
      </c>
      <c r="Y71" s="92">
        <f t="shared" ca="1" si="12"/>
        <v>-176633.33333333331</v>
      </c>
      <c r="Z71" s="92">
        <f t="shared" ca="1" si="12"/>
        <v>-503266.66666666669</v>
      </c>
      <c r="AA71" s="92">
        <f t="shared" ca="1" si="12"/>
        <v>-699900</v>
      </c>
      <c r="AB71" s="92">
        <f t="shared" ca="1" si="12"/>
        <v>-1104105.9635935321</v>
      </c>
      <c r="AC71" s="92">
        <f t="shared" ca="1" si="12"/>
        <v>-1555544.4997569979</v>
      </c>
      <c r="AD71" s="92">
        <f t="shared" ca="1" si="12"/>
        <v>-2056881.2651427635</v>
      </c>
      <c r="AE71" s="92">
        <f t="shared" ca="1" si="12"/>
        <v>-2524990.694504281</v>
      </c>
      <c r="AF71" s="92">
        <f t="shared" ca="1" si="12"/>
        <v>-3040443.7309014313</v>
      </c>
      <c r="AG71" s="92">
        <f t="shared" ca="1" si="12"/>
        <v>-3597256.2452830574</v>
      </c>
      <c r="AH71" s="92">
        <f t="shared" ca="1" si="12"/>
        <v>-4186323.425596769</v>
      </c>
      <c r="AI71" s="92">
        <f t="shared" ca="1" si="12"/>
        <v>-4795918.1729181707</v>
      </c>
      <c r="AJ71" s="92">
        <f t="shared" ca="1" si="12"/>
        <v>-5412560.9315320738</v>
      </c>
      <c r="AK71" s="92">
        <f t="shared" ca="1" si="12"/>
        <v>-6022155.6788534755</v>
      </c>
      <c r="AL71" s="92">
        <f t="shared" ca="1" si="12"/>
        <v>-3636222.859167187</v>
      </c>
      <c r="AM71" s="92">
        <f t="shared" ca="1" si="12"/>
        <v>-4193035.3735488132</v>
      </c>
      <c r="AN71" s="92">
        <f t="shared" ca="1" si="12"/>
        <v>-4708488.409945963</v>
      </c>
      <c r="AO71" s="92">
        <f t="shared" ca="1" si="12"/>
        <v>-5176597.8393074805</v>
      </c>
      <c r="AP71" s="92">
        <f t="shared" ca="1" si="12"/>
        <v>-5594601.2713599121</v>
      </c>
      <c r="AQ71" s="92">
        <f t="shared" ca="1" si="12"/>
        <v>-5962706.4741900442</v>
      </c>
      <c r="AR71" s="92">
        <f t="shared" ca="1" si="12"/>
        <v>-6283579.1044502426</v>
      </c>
      <c r="AS71" s="92">
        <f t="shared" ca="1" si="12"/>
        <v>-6561682.0792307341</v>
      </c>
      <c r="AT71" s="92">
        <f t="shared" ca="1" si="12"/>
        <v>-6952576.2184336269</v>
      </c>
      <c r="AU71" s="92">
        <f t="shared" ca="1" si="12"/>
        <v>-7162272.73712222</v>
      </c>
      <c r="AV71" s="92">
        <f t="shared" ca="1" si="12"/>
        <v>-7346700</v>
      </c>
      <c r="AW71" s="92">
        <f t="shared" ca="1" si="12"/>
        <v>-7460000</v>
      </c>
      <c r="AX71" s="92">
        <f t="shared" ca="1" si="12"/>
        <v>4440000</v>
      </c>
      <c r="AY71" s="92">
        <f t="shared" ca="1" si="12"/>
        <v>3300000</v>
      </c>
      <c r="AZ71" s="92">
        <f t="shared" ca="1" si="12"/>
        <v>3300000</v>
      </c>
      <c r="BA71" s="92">
        <f t="shared" ca="1" si="12"/>
        <v>3300000</v>
      </c>
      <c r="BB71" s="92">
        <f t="shared" ca="1" si="12"/>
        <v>3300000</v>
      </c>
      <c r="BC71" s="92">
        <f t="shared" ca="1" si="12"/>
        <v>3300000</v>
      </c>
      <c r="BD71" s="92">
        <f t="shared" ca="1" si="12"/>
        <v>3300000</v>
      </c>
      <c r="BE71" s="92">
        <f t="shared" ca="1" si="12"/>
        <v>3300000</v>
      </c>
      <c r="BF71" s="92">
        <f t="shared" ca="1" si="12"/>
        <v>3300000</v>
      </c>
      <c r="BG71" s="92">
        <f t="shared" ca="1" si="12"/>
        <v>3300000</v>
      </c>
      <c r="BH71" s="92">
        <f t="shared" ca="1" si="12"/>
        <v>3300000</v>
      </c>
      <c r="BI71" s="92">
        <f t="shared" ca="1" si="12"/>
        <v>3300000</v>
      </c>
      <c r="BJ71" s="92">
        <f t="shared" ca="1" si="12"/>
        <v>3300000</v>
      </c>
      <c r="BK71" s="92">
        <f t="shared" ca="1" si="12"/>
        <v>3300000</v>
      </c>
      <c r="BL71" s="92">
        <f t="shared" ca="1" si="12"/>
        <v>3300000</v>
      </c>
      <c r="BM71" s="92">
        <f t="shared" ca="1" si="12"/>
        <v>3300000</v>
      </c>
      <c r="BN71" s="92">
        <f t="shared" ca="1" si="12"/>
        <v>3300000</v>
      </c>
      <c r="BO71" s="92">
        <f t="shared" ca="1" si="12"/>
        <v>3300000</v>
      </c>
      <c r="BP71" s="92">
        <f t="shared" ca="1" si="12"/>
        <v>3300000</v>
      </c>
      <c r="BQ71" s="92">
        <f t="shared" ca="1" si="12"/>
        <v>3300000</v>
      </c>
      <c r="BR71" s="92">
        <f t="shared" ca="1" si="12"/>
        <v>3300000</v>
      </c>
      <c r="BS71" s="92">
        <f t="shared" ca="1" si="12"/>
        <v>3300000</v>
      </c>
    </row>
    <row r="72" spans="1:71" x14ac:dyDescent="0.2">
      <c r="R72" s="107"/>
      <c r="T72" s="68"/>
      <c r="V72" s="69"/>
    </row>
    <row r="73" spans="1:71" x14ac:dyDescent="0.2">
      <c r="A73" s="36" t="s">
        <v>39</v>
      </c>
      <c r="G73" s="38" t="s">
        <v>119</v>
      </c>
      <c r="R73" s="82"/>
      <c r="V73" s="69"/>
    </row>
    <row r="74" spans="1:71" x14ac:dyDescent="0.2">
      <c r="A74" s="36" t="s">
        <v>41</v>
      </c>
      <c r="B74" s="37" t="s">
        <v>120</v>
      </c>
      <c r="G74" s="37" t="s">
        <v>121</v>
      </c>
      <c r="Q74" s="77" t="s">
        <v>122</v>
      </c>
      <c r="R74" s="52">
        <f ca="1">V18*0.05</f>
        <v>250000</v>
      </c>
      <c r="S74" s="82"/>
      <c r="T74" s="77" t="s">
        <v>123</v>
      </c>
      <c r="U74" s="53">
        <f ca="1">EDATE(Unlevered_End_Date,0)</f>
        <v>45017</v>
      </c>
      <c r="V74" s="69"/>
      <c r="X74" s="68">
        <f t="shared" ref="X74:AX74" ca="1" si="13">ROUND(W77+X70,4)</f>
        <v>0</v>
      </c>
      <c r="Y74" s="68">
        <f t="shared" ca="1" si="13"/>
        <v>2130247.9317999999</v>
      </c>
      <c r="Z74" s="68">
        <f ca="1">ROUND(Y77+Z70,4)</f>
        <v>1803614.5985000001</v>
      </c>
      <c r="AA74" s="68">
        <f t="shared" ca="1" si="13"/>
        <v>1606981.2652</v>
      </c>
      <c r="AB74" s="68">
        <f t="shared" ca="1" si="13"/>
        <v>1202775.3015999999</v>
      </c>
      <c r="AC74" s="68">
        <f t="shared" ca="1" si="13"/>
        <v>751336.76540000003</v>
      </c>
      <c r="AD74" s="68">
        <f t="shared" ca="1" si="13"/>
        <v>250000</v>
      </c>
      <c r="AE74" s="68">
        <f t="shared" ca="1" si="13"/>
        <v>3137570.2370000002</v>
      </c>
      <c r="AF74" s="68">
        <f t="shared" ca="1" si="13"/>
        <v>2622117.2006000001</v>
      </c>
      <c r="AG74" s="68">
        <f t="shared" ca="1" si="13"/>
        <v>2065304.6862000001</v>
      </c>
      <c r="AH74" s="68">
        <f t="shared" ca="1" si="13"/>
        <v>1476237.5059</v>
      </c>
      <c r="AI74" s="68">
        <f t="shared" ca="1" si="13"/>
        <v>866642.75859999994</v>
      </c>
      <c r="AJ74" s="68">
        <f t="shared" ca="1" si="13"/>
        <v>250000</v>
      </c>
      <c r="AK74" s="68">
        <f t="shared" ca="1" si="13"/>
        <v>250000</v>
      </c>
      <c r="AL74" s="68">
        <f t="shared" ca="1" si="13"/>
        <v>2635932.8196999999</v>
      </c>
      <c r="AM74" s="68">
        <f t="shared" ca="1" si="13"/>
        <v>2079120.3052999999</v>
      </c>
      <c r="AN74" s="68">
        <f t="shared" ca="1" si="13"/>
        <v>1563667.2689</v>
      </c>
      <c r="AO74" s="68">
        <f t="shared" ca="1" si="13"/>
        <v>1095557.8395</v>
      </c>
      <c r="AP74" s="68">
        <f t="shared" ca="1" si="13"/>
        <v>677554.40740000003</v>
      </c>
      <c r="AQ74" s="68">
        <f t="shared" ca="1" si="13"/>
        <v>1633993.5257999999</v>
      </c>
      <c r="AR74" s="68">
        <f t="shared" ca="1" si="13"/>
        <v>1313120.8955000001</v>
      </c>
      <c r="AS74" s="68">
        <f t="shared" ca="1" si="13"/>
        <v>1035017.9207</v>
      </c>
      <c r="AT74" s="68">
        <f t="shared" ca="1" si="13"/>
        <v>644123.78150000004</v>
      </c>
      <c r="AU74" s="68">
        <f t="shared" ca="1" si="13"/>
        <v>434427.26280000003</v>
      </c>
      <c r="AV74" s="68">
        <f t="shared" ca="1" si="13"/>
        <v>249999.9999</v>
      </c>
      <c r="AW74" s="68">
        <f t="shared" ca="1" si="13"/>
        <v>250000</v>
      </c>
      <c r="AX74" s="68">
        <f t="shared" ca="1" si="13"/>
        <v>12150000</v>
      </c>
      <c r="AY74" s="68">
        <f ca="1">ROUND(AX77+AY70,4)</f>
        <v>250000</v>
      </c>
      <c r="AZ74" s="68">
        <f t="shared" ref="AZ74:BS74" ca="1" si="14">ROUND(AY77+AZ70,4)</f>
        <v>0</v>
      </c>
      <c r="BA74" s="68">
        <f t="shared" ca="1" si="14"/>
        <v>0</v>
      </c>
      <c r="BB74" s="68">
        <f t="shared" ca="1" si="14"/>
        <v>0</v>
      </c>
      <c r="BC74" s="68">
        <f t="shared" ca="1" si="14"/>
        <v>0</v>
      </c>
      <c r="BD74" s="68">
        <f t="shared" ca="1" si="14"/>
        <v>0</v>
      </c>
      <c r="BE74" s="68">
        <f t="shared" ca="1" si="14"/>
        <v>0</v>
      </c>
      <c r="BF74" s="68">
        <f t="shared" ca="1" si="14"/>
        <v>0</v>
      </c>
      <c r="BG74" s="68">
        <f t="shared" ca="1" si="14"/>
        <v>0</v>
      </c>
      <c r="BH74" s="68">
        <f t="shared" ca="1" si="14"/>
        <v>0</v>
      </c>
      <c r="BI74" s="68">
        <f t="shared" ca="1" si="14"/>
        <v>0</v>
      </c>
      <c r="BJ74" s="68">
        <f t="shared" ca="1" si="14"/>
        <v>0</v>
      </c>
      <c r="BK74" s="68">
        <f t="shared" ca="1" si="14"/>
        <v>0</v>
      </c>
      <c r="BL74" s="68">
        <f t="shared" ca="1" si="14"/>
        <v>0</v>
      </c>
      <c r="BM74" s="68">
        <f t="shared" ca="1" si="14"/>
        <v>0</v>
      </c>
      <c r="BN74" s="68">
        <f t="shared" ca="1" si="14"/>
        <v>0</v>
      </c>
      <c r="BO74" s="68">
        <f t="shared" ca="1" si="14"/>
        <v>0</v>
      </c>
      <c r="BP74" s="68">
        <f t="shared" ca="1" si="14"/>
        <v>0</v>
      </c>
      <c r="BQ74" s="68">
        <f t="shared" ca="1" si="14"/>
        <v>0</v>
      </c>
      <c r="BR74" s="68">
        <f t="shared" ca="1" si="14"/>
        <v>0</v>
      </c>
      <c r="BS74" s="68">
        <f t="shared" ca="1" si="14"/>
        <v>0</v>
      </c>
    </row>
    <row r="75" spans="1:71" x14ac:dyDescent="0.2">
      <c r="A75" s="36" t="s">
        <v>41</v>
      </c>
      <c r="B75" s="37" t="s">
        <v>124</v>
      </c>
      <c r="G75" s="37" t="s">
        <v>125</v>
      </c>
      <c r="Q75" s="77" t="s">
        <v>126</v>
      </c>
      <c r="R75" s="102">
        <v>6</v>
      </c>
      <c r="S75" s="82"/>
      <c r="T75" s="77" t="s">
        <v>127</v>
      </c>
      <c r="U75" s="53">
        <f>Start_Date</f>
        <v>44197</v>
      </c>
      <c r="V75" s="81">
        <f ca="1">SUM(X75:BS75)</f>
        <v>7710000.0001935624</v>
      </c>
      <c r="X75" s="68">
        <f ca="1">IF(AND(X$4&gt;=$U75,DATEDIF($U75,X$4,"M")/$R75=TRUNC(DATEDIF($U75,X$4,"M")/$R75)),MAX(IFERROR(-MINSUM(Y70:OFFSET(X70,,$R75)),0)+IF(X$4&lt;$U74,$R74,0)-X74,0),0)</f>
        <v>2306881.2651427635</v>
      </c>
      <c r="Y75" s="68">
        <f ca="1">IF(AND(Y$4&gt;=$U75,DATEDIF($U75,Y$4,"M")/$R75=TRUNC(DATEDIF($U75,Y$4,"M")/$R75)),MAX(IFERROR(-MINSUM(Z70:OFFSET(Y70,,$R75)),0)+IF(Y$4&lt;$U74,$R74,0)-Y74,0),0)</f>
        <v>0</v>
      </c>
      <c r="Z75" s="68">
        <f ca="1">IF(AND(Z$4&gt;=$U75,DATEDIF($U75,Z$4,"M")/$R75=TRUNC(DATEDIF($U75,Z$4,"M")/$R75)),MAX(IFERROR(-MINSUM(AA70:OFFSET(Z70,,$R75)),0)+IF(Z$4&lt;$U74,$R74,0)-Z74,0),0)</f>
        <v>0</v>
      </c>
      <c r="AA75" s="68">
        <f ca="1">IF(AND(AA$4&gt;=$U75,DATEDIF($U75,AA$4,"M")/$R75=TRUNC(DATEDIF($U75,AA$4,"M")/$R75)),MAX(IFERROR(-MINSUM(AB70:OFFSET(AA70,,$R75)),0)+IF(AA$4&lt;$U74,$R74,0)-AA74,0),0)</f>
        <v>0</v>
      </c>
      <c r="AB75" s="68">
        <f ca="1">IF(AND(AB$4&gt;=$U75,DATEDIF($U75,AB$4,"M")/$R75=TRUNC(DATEDIF($U75,AB$4,"M")/$R75)),MAX(IFERROR(-MINSUM(AC70:OFFSET(AB70,,$R75)),0)+IF(AB$4&lt;$U74,$R74,0)-AB74,0),0)</f>
        <v>0</v>
      </c>
      <c r="AC75" s="68">
        <f ca="1">IF(AND(AC$4&gt;=$U75,DATEDIF($U75,AC$4,"M")/$R75=TRUNC(DATEDIF($U75,AC$4,"M")/$R75)),MAX(IFERROR(-MINSUM(AD70:OFFSET(AC70,,$R75)),0)+IF(AC$4&lt;$U74,$R74,0)-AC74,0),0)</f>
        <v>0</v>
      </c>
      <c r="AD75" s="68">
        <f ca="1">IF(AND(AD$4&gt;=$U75,DATEDIF($U75,AD$4,"M")/$R75=TRUNC(DATEDIF($U75,AD$4,"M")/$R75)),MAX(IFERROR(-MINSUM(AE70:OFFSET(AD70,,$R75)),0)+IF(AD$4&lt;$U74,$R74,0)-AD74,0),0)</f>
        <v>3355679.6663893103</v>
      </c>
      <c r="AE75" s="68">
        <f ca="1">IF(AND(AE$4&gt;=$U75,DATEDIF($U75,AE$4,"M")/$R75=TRUNC(DATEDIF($U75,AE$4,"M")/$R75)),MAX(IFERROR(-MINSUM(AF70:OFFSET(AE70,,$R75)),0)+IF(AE$4&lt;$U74,$R74,0)-AE74,0),0)</f>
        <v>0</v>
      </c>
      <c r="AF75" s="68">
        <f ca="1">IF(AND(AF$4&gt;=$U75,DATEDIF($U75,AF$4,"M")/$R75=TRUNC(DATEDIF($U75,AF$4,"M")/$R75)),MAX(IFERROR(-MINSUM(AG70:OFFSET(AF70,,$R75)),0)+IF(AF$4&lt;$U74,$R74,0)-AF74,0),0)</f>
        <v>0</v>
      </c>
      <c r="AG75" s="68">
        <f ca="1">IF(AND(AG$4&gt;=$U75,DATEDIF($U75,AG$4,"M")/$R75=TRUNC(DATEDIF($U75,AG$4,"M")/$R75)),MAX(IFERROR(-MINSUM(AH70:OFFSET(AG70,,$R75)),0)+IF(AG$4&lt;$U74,$R74,0)-AG74,0),0)</f>
        <v>0</v>
      </c>
      <c r="AH75" s="68">
        <f ca="1">IF(AND(AH$4&gt;=$U75,DATEDIF($U75,AH$4,"M")/$R75=TRUNC(DATEDIF($U75,AH$4,"M")/$R75)),MAX(IFERROR(-MINSUM(AI70:OFFSET(AH70,,$R75)),0)+IF(AH$4&lt;$U74,$R74,0)-AH74,0),0)</f>
        <v>0</v>
      </c>
      <c r="AI75" s="68">
        <f ca="1">IF(AND(AI$4&gt;=$U75,DATEDIF($U75,AI$4,"M")/$R75=TRUNC(DATEDIF($U75,AI$4,"M")/$R75)),MAX(IFERROR(-MINSUM(AJ70:OFFSET(AI70,,$R75)),0)+IF(AI$4&lt;$U74,$R74,0)-AI74,0),0)</f>
        <v>0</v>
      </c>
      <c r="AJ75" s="68">
        <f ca="1">IF(AND(AJ$4&gt;=$U75,DATEDIF($U75,AJ$4,"M")/$R75=TRUNC(DATEDIF($U75,AJ$4,"M")/$R75)),MAX(IFERROR(-MINSUM(AK70:OFFSET(AJ70,,$R75)),0)+IF(AJ$4&lt;$U74,$R74,0)-AJ74,0),0)</f>
        <v>609594.74732140172</v>
      </c>
      <c r="AK75" s="68">
        <f ca="1">IF(AND(AK$4&gt;=$U75,DATEDIF($U75,AK$4,"M")/$R75=TRUNC(DATEDIF($U75,AK$4,"M")/$R75)),MAX(IFERROR(-MINSUM(AL70:OFFSET(AK70,,$R75)),0)+IF(AK$4&lt;$U74,$R74,0)-AK74,0),0)</f>
        <v>0</v>
      </c>
      <c r="AL75" s="68">
        <f ca="1">IF(AND(AL$4&gt;=$U75,DATEDIF($U75,AL$4,"M")/$R75=TRUNC(DATEDIF($U75,AL$4,"M")/$R75)),MAX(IFERROR(-MINSUM(AM70:OFFSET(AL70,,$R75)),0)+IF(AL$4&lt;$U74,$R74,0)-AL74,0),0)</f>
        <v>0</v>
      </c>
      <c r="AM75" s="68">
        <f ca="1">IF(AND(AM$4&gt;=$U75,DATEDIF($U75,AM$4,"M")/$R75=TRUNC(DATEDIF($U75,AM$4,"M")/$R75)),MAX(IFERROR(-MINSUM(AN70:OFFSET(AM70,,$R75)),0)+IF(AM$4&lt;$U74,$R74,0)-AM74,0),0)</f>
        <v>0</v>
      </c>
      <c r="AN75" s="68">
        <f ca="1">IF(AND(AN$4&gt;=$U75,DATEDIF($U75,AN$4,"M")/$R75=TRUNC(DATEDIF($U75,AN$4,"M")/$R75)),MAX(IFERROR(-MINSUM(AO70:OFFSET(AN70,,$R75)),0)+IF(AN$4&lt;$U74,$R74,0)-AN74,0),0)</f>
        <v>0</v>
      </c>
      <c r="AO75" s="68">
        <f ca="1">IF(AND(AO$4&gt;=$U75,DATEDIF($U75,AO$4,"M")/$R75=TRUNC(DATEDIF($U75,AO$4,"M")/$R75)),MAX(IFERROR(-MINSUM(AP70:OFFSET(AO70,,$R75)),0)+IF(AO$4&lt;$U74,$R74,0)-AO74,0),0)</f>
        <v>0</v>
      </c>
      <c r="AP75" s="68">
        <f ca="1">IF(AND(AP$4&gt;=$U75,DATEDIF($U75,AP$4,"M")/$R75=TRUNC(DATEDIF($U75,AP$4,"M")/$R75)),MAX(IFERROR(-MINSUM(AQ70:OFFSET(AP70,,$R75)),0)+IF(AP$4&lt;$U74,$R74,0)-AP74,0),0)</f>
        <v>1324544.3212400875</v>
      </c>
      <c r="AQ75" s="68">
        <f ca="1">IF(AND(AQ$4&gt;=$U75,DATEDIF($U75,AQ$4,"M")/$R75=TRUNC(DATEDIF($U75,AQ$4,"M")/$R75)),MAX(IFERROR(-MINSUM(AR70:OFFSET(AQ70,,$R75)),0)+IF(AQ$4&lt;$U74,$R74,0)-AQ74,0),0)</f>
        <v>0</v>
      </c>
      <c r="AR75" s="68">
        <f ca="1">IF(AND(AR$4&gt;=$U75,DATEDIF($U75,AR$4,"M")/$R75=TRUNC(DATEDIF($U75,AR$4,"M")/$R75)),MAX(IFERROR(-MINSUM(AS70:OFFSET(AR70,,$R75)),0)+IF(AR$4&lt;$U74,$R74,0)-AR74,0),0)</f>
        <v>0</v>
      </c>
      <c r="AS75" s="68">
        <f ca="1">IF(AND(AS$4&gt;=$U75,DATEDIF($U75,AS$4,"M")/$R75=TRUNC(DATEDIF($U75,AS$4,"M")/$R75)),MAX(IFERROR(-MINSUM(AT70:OFFSET(AS70,,$R75)),0)+IF(AS$4&lt;$U74,$R74,0)-AS74,0),0)</f>
        <v>0</v>
      </c>
      <c r="AT75" s="68">
        <f ca="1">IF(AND(AT$4&gt;=$U75,DATEDIF($U75,AT$4,"M")/$R75=TRUNC(DATEDIF($U75,AT$4,"M")/$R75)),MAX(IFERROR(-MINSUM(AU70:OFFSET(AT70,,$R75)),0)+IF(AT$4&lt;$U74,$R74,0)-AT74,0),0)</f>
        <v>0</v>
      </c>
      <c r="AU75" s="68">
        <f ca="1">IF(AND(AU$4&gt;=$U75,DATEDIF($U75,AU$4,"M")/$R75=TRUNC(DATEDIF($U75,AU$4,"M")/$R75)),MAX(IFERROR(-MINSUM(AV70:OFFSET(AU70,,$R75)),0)+IF(AU$4&lt;$U74,$R74,0)-AU74,0),0)</f>
        <v>0</v>
      </c>
      <c r="AV75" s="68">
        <f ca="1">IF(AND(AV$4&gt;=$U75,DATEDIF($U75,AV$4,"M")/$R75=TRUNC(DATEDIF($U75,AV$4,"M")/$R75)),MAX(IFERROR(-MINSUM(AW70:OFFSET(AV70,,$R75)),0)+IF(AV$4&lt;$U74,$R74,0)-AV74,0),0)</f>
        <v>113300.0001</v>
      </c>
      <c r="AW75" s="68">
        <f ca="1">IF(AND(AW$4&gt;=$U75,DATEDIF($U75,AW$4,"M")/$R75=TRUNC(DATEDIF($U75,AW$4,"M")/$R75)),MAX(IFERROR(-MINSUM(AX70:OFFSET(AW70,,$R75)),0)+IF(AW$4&lt;$U74,$R74,0)-AW74,0),0)</f>
        <v>0</v>
      </c>
      <c r="AX75" s="68">
        <f ca="1">IF(AND(AX$4&gt;=$U75,DATEDIF($U75,AX$4,"M")/$R75=TRUNC(DATEDIF($U75,AX$4,"M")/$R75)),MAX(IFERROR(-MINSUM(AY70:OFFSET(AX70,,$R75)),0)+IF(AX$4&lt;$U74,$R74,0)-AX74,0),0)</f>
        <v>0</v>
      </c>
      <c r="AY75" s="68">
        <f ca="1">IF(AND(AY$4&gt;=$U75,DATEDIF($U75,AY$4,"M")/$R75=TRUNC(DATEDIF($U75,AY$4,"M")/$R75)),MAX(IFERROR(-MINSUM(AZ70:OFFSET(AY70,,$R75)),0)+IF(AY$4&lt;$U74,$R74,0)-AY74,0),0)</f>
        <v>0</v>
      </c>
      <c r="AZ75" s="68">
        <f ca="1">IF(AND(AZ$4&gt;=$U75,DATEDIF($U75,AZ$4,"M")/$R75=TRUNC(DATEDIF($U75,AZ$4,"M")/$R75)),MAX(IFERROR(-MINSUM(BA70:OFFSET(AZ70,,$R75)),0)+IF(AZ$4&lt;$U74,$R74,0)-AZ74,0),0)</f>
        <v>0</v>
      </c>
      <c r="BA75" s="68">
        <f ca="1">IF(AND(BA$4&gt;=$U75,DATEDIF($U75,BA$4,"M")/$R75=TRUNC(DATEDIF($U75,BA$4,"M")/$R75)),MAX(IFERROR(-MINSUM(BB70:OFFSET(BA70,,$R75)),0)+IF(BA$4&lt;$U74,$R74,0)-BA74,0),0)</f>
        <v>0</v>
      </c>
      <c r="BB75" s="68">
        <f ca="1">IF(AND(BB$4&gt;=$U75,DATEDIF($U75,BB$4,"M")/$R75=TRUNC(DATEDIF($U75,BB$4,"M")/$R75)),MAX(IFERROR(-MINSUM(BC70:OFFSET(BB70,,$R75)),0)+IF(BB$4&lt;$U74,$R74,0)-BB74,0),0)</f>
        <v>0</v>
      </c>
      <c r="BC75" s="68">
        <f ca="1">IF(AND(BC$4&gt;=$U75,DATEDIF($U75,BC$4,"M")/$R75=TRUNC(DATEDIF($U75,BC$4,"M")/$R75)),MAX(IFERROR(-MINSUM(BD70:OFFSET(BC70,,$R75)),0)+IF(BC$4&lt;$U74,$R74,0)-BC74,0),0)</f>
        <v>0</v>
      </c>
      <c r="BD75" s="68">
        <f ca="1">IF(AND(BD$4&gt;=$U75,DATEDIF($U75,BD$4,"M")/$R75=TRUNC(DATEDIF($U75,BD$4,"M")/$R75)),MAX(IFERROR(-MINSUM(BE70:OFFSET(BD70,,$R75)),0)+IF(BD$4&lt;$U74,$R74,0)-BD74,0),0)</f>
        <v>0</v>
      </c>
      <c r="BE75" s="68">
        <f ca="1">IF(AND(BE$4&gt;=$U75,DATEDIF($U75,BE$4,"M")/$R75=TRUNC(DATEDIF($U75,BE$4,"M")/$R75)),MAX(IFERROR(-MINSUM(BF70:OFFSET(BE70,,$R75)),0)+IF(BE$4&lt;$U74,$R74,0)-BE74,0),0)</f>
        <v>0</v>
      </c>
      <c r="BF75" s="68">
        <f ca="1">IF(AND(BF$4&gt;=$U75,DATEDIF($U75,BF$4,"M")/$R75=TRUNC(DATEDIF($U75,BF$4,"M")/$R75)),MAX(IFERROR(-MINSUM(BG70:OFFSET(BF70,,$R75)),0)+IF(BF$4&lt;$U74,$R74,0)-BF74,0),0)</f>
        <v>0</v>
      </c>
      <c r="BG75" s="68">
        <f ca="1">IF(AND(BG$4&gt;=$U75,DATEDIF($U75,BG$4,"M")/$R75=TRUNC(DATEDIF($U75,BG$4,"M")/$R75)),MAX(IFERROR(-MINSUM(BH70:OFFSET(BG70,,$R75)),0)+IF(BG$4&lt;$U74,$R74,0)-BG74,0),0)</f>
        <v>0</v>
      </c>
      <c r="BH75" s="68">
        <f ca="1">IF(AND(BH$4&gt;=$U75,DATEDIF($U75,BH$4,"M")/$R75=TRUNC(DATEDIF($U75,BH$4,"M")/$R75)),MAX(IFERROR(-MINSUM(BI70:OFFSET(BH70,,$R75)),0)+IF(BH$4&lt;$U74,$R74,0)-BH74,0),0)</f>
        <v>0</v>
      </c>
      <c r="BI75" s="68">
        <f ca="1">IF(AND(BI$4&gt;=$U75,DATEDIF($U75,BI$4,"M")/$R75=TRUNC(DATEDIF($U75,BI$4,"M")/$R75)),MAX(IFERROR(-MINSUM(BJ70:OFFSET(BI70,,$R75)),0)+IF(BI$4&lt;$U74,$R74,0)-BI74,0),0)</f>
        <v>0</v>
      </c>
      <c r="BJ75" s="68">
        <f ca="1">IF(AND(BJ$4&gt;=$U75,DATEDIF($U75,BJ$4,"M")/$R75=TRUNC(DATEDIF($U75,BJ$4,"M")/$R75)),MAX(IFERROR(-MINSUM(BK70:OFFSET(BJ70,,$R75)),0)+IF(BJ$4&lt;$U74,$R74,0)-BJ74,0),0)</f>
        <v>0</v>
      </c>
      <c r="BK75" s="68">
        <f ca="1">IF(AND(BK$4&gt;=$U75,DATEDIF($U75,BK$4,"M")/$R75=TRUNC(DATEDIF($U75,BK$4,"M")/$R75)),MAX(IFERROR(-MINSUM(BL70:OFFSET(BK70,,$R75)),0)+IF(BK$4&lt;$U74,$R74,0)-BK74,0),0)</f>
        <v>0</v>
      </c>
      <c r="BL75" s="68">
        <f ca="1">IF(AND(BL$4&gt;=$U75,DATEDIF($U75,BL$4,"M")/$R75=TRUNC(DATEDIF($U75,BL$4,"M")/$R75)),MAX(IFERROR(-MINSUM(BM70:OFFSET(BL70,,$R75)),0)+IF(BL$4&lt;$U74,$R74,0)-BL74,0),0)</f>
        <v>0</v>
      </c>
      <c r="BM75" s="68">
        <f ca="1">IF(AND(BM$4&gt;=$U75,DATEDIF($U75,BM$4,"M")/$R75=TRUNC(DATEDIF($U75,BM$4,"M")/$R75)),MAX(IFERROR(-MINSUM(BN70:OFFSET(BM70,,$R75)),0)+IF(BM$4&lt;$U74,$R74,0)-BM74,0),0)</f>
        <v>0</v>
      </c>
      <c r="BN75" s="68">
        <f ca="1">IF(AND(BN$4&gt;=$U75,DATEDIF($U75,BN$4,"M")/$R75=TRUNC(DATEDIF($U75,BN$4,"M")/$R75)),MAX(IFERROR(-MINSUM(BO70:OFFSET(BN70,,$R75)),0)+IF(BN$4&lt;$U74,$R74,0)-BN74,0),0)</f>
        <v>0</v>
      </c>
      <c r="BO75" s="68">
        <f ca="1">IF(AND(BO$4&gt;=$U75,DATEDIF($U75,BO$4,"M")/$R75=TRUNC(DATEDIF($U75,BO$4,"M")/$R75)),MAX(IFERROR(-MINSUM(BP70:OFFSET(BO70,,$R75)),0)+IF(BO$4&lt;$U74,$R74,0)-BO74,0),0)</f>
        <v>0</v>
      </c>
      <c r="BP75" s="68">
        <f ca="1">IF(AND(BP$4&gt;=$U75,DATEDIF($U75,BP$4,"M")/$R75=TRUNC(DATEDIF($U75,BP$4,"M")/$R75)),MAX(IFERROR(-MINSUM(BQ70:OFFSET(BP70,,$R75)),0)+IF(BP$4&lt;$U74,$R74,0)-BP74,0),0)</f>
        <v>0</v>
      </c>
      <c r="BQ75" s="68">
        <f ca="1">IF(AND(BQ$4&gt;=$U75,DATEDIF($U75,BQ$4,"M")/$R75=TRUNC(DATEDIF($U75,BQ$4,"M")/$R75)),MAX(IFERROR(-MINSUM(BR70:OFFSET(BQ70,,$R75)),0)+IF(BQ$4&lt;$U74,$R74,0)-BQ74,0),0)</f>
        <v>0</v>
      </c>
      <c r="BR75" s="68">
        <f ca="1">IF(AND(BR$4&gt;=$U75,DATEDIF($U75,BR$4,"M")/$R75=TRUNC(DATEDIF($U75,BR$4,"M")/$R75)),MAX(IFERROR(-MINSUM(BS70:OFFSET(BR70,,$R75)),0)+IF(BR$4&lt;$U74,$R74,0)-BR74,0),0)</f>
        <v>0</v>
      </c>
      <c r="BS75" s="68">
        <f ca="1">IF(AND(BS$4&gt;=$U75,DATEDIF($U75,BS$4,"M")/$R75=TRUNC(DATEDIF($U75,BS$4,"M")/$R75)),MAX(IFERROR(-MINSUM(BT70:OFFSET(BS70,,$R75)),0)+IF(BS$4&lt;$U74,$R74,0)-BS74,0),0)</f>
        <v>0</v>
      </c>
    </row>
    <row r="76" spans="1:71" x14ac:dyDescent="0.2">
      <c r="A76" s="36" t="s">
        <v>41</v>
      </c>
      <c r="B76" s="37" t="s">
        <v>128</v>
      </c>
      <c r="G76" s="37" t="s">
        <v>129</v>
      </c>
      <c r="Q76" s="77" t="s">
        <v>130</v>
      </c>
      <c r="R76" s="108" t="s">
        <v>131</v>
      </c>
      <c r="S76" s="82"/>
      <c r="T76" s="77" t="s">
        <v>132</v>
      </c>
      <c r="U76" s="53">
        <f>U75</f>
        <v>44197</v>
      </c>
      <c r="V76" s="81">
        <f ca="1">SUM(X76:BS76)</f>
        <v>11010000</v>
      </c>
      <c r="X76" s="68">
        <f ca="1">IF(X$4&gt;=$U76,IF(OR(MINSUM(X70:$BS70)=0,$R76="Y"),MAX(X74-$R74+MIN(SUM(Y70:OFFSET(X70,,$R75-ROUND((DATEDIF($U75,X$4,"M")/6-TRUNC(DATEDIF($U75,X$4,"M")/6))*$R75,0))),0),0),MAX(MINSUM(X70:$BS70),0)),0)+IF(X$4=$U74,$R74,0)</f>
        <v>0</v>
      </c>
      <c r="Y76" s="68">
        <f ca="1">IF(Y$4&gt;=$U76,IF(OR(MINSUM(Y70:$BS70)=0,$R76="Y"),MAX(Y74-$R74+MIN(SUM(Z70:OFFSET(Y70,,$R75-ROUND((DATEDIF($U75,Y$4,"M")/6-TRUNC(DATEDIF($U75,Y$4,"M")/6))*$R75,0))),0),0),MAX(MINSUM(Y70:$BS70),0)),0)+IF(Y$4=$U74,$R74,0)</f>
        <v>0</v>
      </c>
      <c r="Z76" s="68">
        <f ca="1">IF(Z$4&gt;=$U76,IF(OR(MINSUM(Z70:$BS70)=0,$R76="Y"),MAX(Z74-$R74+MIN(SUM(AA70:OFFSET(Z70,,$R75-ROUND((DATEDIF($U75,Z$4,"M")/6-TRUNC(DATEDIF($U75,Z$4,"M")/6))*$R75,0))),0),0),MAX(MINSUM(Z70:$BS70),0)),0)+IF(Z$4=$U74,$R74,0)</f>
        <v>0</v>
      </c>
      <c r="AA76" s="68">
        <f ca="1">IF(AA$4&gt;=$U76,IF(OR(MINSUM(AA70:$BS70)=0,$R76="Y"),MAX(AA74-$R74+MIN(SUM(AB70:OFFSET(AA70,,$R75-ROUND((DATEDIF($U75,AA$4,"M")/6-TRUNC(DATEDIF($U75,AA$4,"M")/6))*$R75,0))),0),0),MAX(MINSUM(AA70:$BS70),0)),0)+IF(AA$4=$U74,$R74,0)</f>
        <v>0</v>
      </c>
      <c r="AB76" s="68">
        <f ca="1">IF(AB$4&gt;=$U76,IF(OR(MINSUM(AB70:$BS70)=0,$R76="Y"),MAX(AB74-$R74+MIN(SUM(AC70:OFFSET(AB70,,$R75-ROUND((DATEDIF($U75,AB$4,"M")/6-TRUNC(DATEDIF($U75,AB$4,"M")/6))*$R75,0))),0),0),MAX(MINSUM(AB70:$BS70),0)),0)+IF(AB$4=$U74,$R74,0)</f>
        <v>0</v>
      </c>
      <c r="AC76" s="68">
        <f ca="1">IF(AC$4&gt;=$U76,IF(OR(MINSUM(AC70:$BS70)=0,$R76="Y"),MAX(AC74-$R74+MIN(SUM(AD70:OFFSET(AC70,,$R75-ROUND((DATEDIF($U75,AC$4,"M")/6-TRUNC(DATEDIF($U75,AC$4,"M")/6))*$R75,0))),0),0),MAX(MINSUM(AC70:$BS70),0)),0)+IF(AC$4=$U74,$R74,0)</f>
        <v>0</v>
      </c>
      <c r="AD76" s="68">
        <f ca="1">IF(AD$4&gt;=$U76,IF(OR(MINSUM(AD70:$BS70)=0,$R76="Y"),MAX(AD74-$R74+MIN(SUM(AE70:OFFSET(AD70,,$R75-ROUND((DATEDIF($U75,AD$4,"M")/6-TRUNC(DATEDIF($U75,AD$4,"M")/6))*$R75,0))),0),0),MAX(MINSUM(AD70:$BS70),0)),0)+IF(AD$4=$U74,$R74,0)</f>
        <v>0</v>
      </c>
      <c r="AE76" s="68">
        <f ca="1">IF(AE$4&gt;=$U76,IF(OR(MINSUM(AE70:$BS70)=0,$R76="Y"),MAX(AE74-$R74+MIN(SUM(AF70:OFFSET(AE70,,$R75-ROUND((DATEDIF($U75,AE$4,"M")/6-TRUNC(DATEDIF($U75,AE$4,"M")/6))*$R75,0))),0),0),MAX(MINSUM(AE70:$BS70),0)),0)+IF(AE$4=$U74,$R74,0)</f>
        <v>0</v>
      </c>
      <c r="AF76" s="68">
        <f ca="1">IF(AF$4&gt;=$U76,IF(OR(MINSUM(AF70:$BS70)=0,$R76="Y"),MAX(AF74-$R74+MIN(SUM(AG70:OFFSET(AF70,,$R75-ROUND((DATEDIF($U75,AF$4,"M")/6-TRUNC(DATEDIF($U75,AF$4,"M")/6))*$R75,0))),0),0),MAX(MINSUM(AF70:$BS70),0)),0)+IF(AF$4=$U74,$R74,0)</f>
        <v>0</v>
      </c>
      <c r="AG76" s="68">
        <f ca="1">IF(AG$4&gt;=$U76,IF(OR(MINSUM(AG70:$BS70)=0,$R76="Y"),MAX(AG74-$R74+MIN(SUM(AH70:OFFSET(AG70,,$R75-ROUND((DATEDIF($U75,AG$4,"M")/6-TRUNC(DATEDIF($U75,AG$4,"M")/6))*$R75,0))),0),0),MAX(MINSUM(AG70:$BS70),0)),0)+IF(AG$4=$U74,$R74,0)</f>
        <v>0</v>
      </c>
      <c r="AH76" s="68">
        <f ca="1">IF(AH$4&gt;=$U76,IF(OR(MINSUM(AH70:$BS70)=0,$R76="Y"),MAX(AH74-$R74+MIN(SUM(AI70:OFFSET(AH70,,$R75-ROUND((DATEDIF($U75,AH$4,"M")/6-TRUNC(DATEDIF($U75,AH$4,"M")/6))*$R75,0))),0),0),MAX(MINSUM(AH70:$BS70),0)),0)+IF(AH$4=$U74,$R74,0)</f>
        <v>0</v>
      </c>
      <c r="AI76" s="68">
        <f ca="1">IF(AI$4&gt;=$U76,IF(OR(MINSUM(AI70:$BS70)=0,$R76="Y"),MAX(AI74-$R74+MIN(SUM(AJ70:OFFSET(AI70,,$R75-ROUND((DATEDIF($U75,AI$4,"M")/6-TRUNC(DATEDIF($U75,AI$4,"M")/6))*$R75,0))),0),0),MAX(MINSUM(AI70:$BS70),0)),0)+IF(AI$4=$U74,$R74,0)</f>
        <v>0</v>
      </c>
      <c r="AJ76" s="68">
        <f ca="1">IF(AJ$4&gt;=$U76,IF(OR(MINSUM(AJ70:$BS70)=0,$R76="Y"),MAX(AJ74-$R74+MIN(SUM(AK70:OFFSET(AJ70,,$R75-ROUND((DATEDIF($U75,AJ$4,"M")/6-TRUNC(DATEDIF($U75,AJ$4,"M")/6))*$R75,0))),0),0),MAX(MINSUM(AJ70:$BS70),0)),0)+IF(AJ$4=$U74,$R74,0)</f>
        <v>0</v>
      </c>
      <c r="AK76" s="68">
        <f ca="1">IF(AK$4&gt;=$U76,IF(OR(MINSUM(AK70:$BS70)=0,$R76="Y"),MAX(AK74-$R74+MIN(SUM(AL70:OFFSET(AK70,,$R75-ROUND((DATEDIF($U75,AK$4,"M")/6-TRUNC(DATEDIF($U75,AK$4,"M")/6))*$R75,0))),0),0),MAX(MINSUM(AK70:$BS70),0)),0)+IF(AK$4=$U74,$R74,0)</f>
        <v>0</v>
      </c>
      <c r="AL76" s="68">
        <f ca="1">IF(AL$4&gt;=$U76,IF(OR(MINSUM(AL70:$BS70)=0,$R76="Y"),MAX(AL74-$R74+MIN(SUM(AM70:OFFSET(AL70,,$R75-ROUND((DATEDIF($U75,AL$4,"M")/6-TRUNC(DATEDIF($U75,AL$4,"M")/6))*$R75,0))),0),0),MAX(MINSUM(AL70:$BS70),0)),0)+IF(AL$4=$U74,$R74,0)</f>
        <v>0</v>
      </c>
      <c r="AM76" s="68">
        <f ca="1">IF(AM$4&gt;=$U76,IF(OR(MINSUM(AM70:$BS70)=0,$R76="Y"),MAX(AM74-$R74+MIN(SUM(AN70:OFFSET(AM70,,$R75-ROUND((DATEDIF($U75,AM$4,"M")/6-TRUNC(DATEDIF($U75,AM$4,"M")/6))*$R75,0))),0),0),MAX(MINSUM(AM70:$BS70),0)),0)+IF(AM$4=$U74,$R74,0)</f>
        <v>0</v>
      </c>
      <c r="AN76" s="68">
        <f ca="1">IF(AN$4&gt;=$U76,IF(OR(MINSUM(AN70:$BS70)=0,$R76="Y"),MAX(AN74-$R74+MIN(SUM(AO70:OFFSET(AN70,,$R75-ROUND((DATEDIF($U75,AN$4,"M")/6-TRUNC(DATEDIF($U75,AN$4,"M")/6))*$R75,0))),0),0),MAX(MINSUM(AN70:$BS70),0)),0)+IF(AN$4=$U74,$R74,0)</f>
        <v>0</v>
      </c>
      <c r="AO76" s="68">
        <f ca="1">IF(AO$4&gt;=$U76,IF(OR(MINSUM(AO70:$BS70)=0,$R76="Y"),MAX(AO74-$R74+MIN(SUM(AP70:OFFSET(AO70,,$R75-ROUND((DATEDIF($U75,AO$4,"M")/6-TRUNC(DATEDIF($U75,AO$4,"M")/6))*$R75,0))),0),0),MAX(MINSUM(AO70:$BS70),0)),0)+IF(AO$4=$U74,$R74,0)</f>
        <v>0</v>
      </c>
      <c r="AP76" s="68">
        <f ca="1">IF(AP$4&gt;=$U76,IF(OR(MINSUM(AP70:$BS70)=0,$R76="Y"),MAX(AP74-$R74+MIN(SUM(AQ70:OFFSET(AP70,,$R75-ROUND((DATEDIF($U75,AP$4,"M")/6-TRUNC(DATEDIF($U75,AP$4,"M")/6))*$R75,0))),0),0),MAX(MINSUM(AP70:$BS70),0)),0)+IF(AP$4=$U74,$R74,0)</f>
        <v>0</v>
      </c>
      <c r="AQ76" s="68">
        <f ca="1">IF(AQ$4&gt;=$U76,IF(OR(MINSUM(AQ70:$BS70)=0,$R76="Y"),MAX(AQ74-$R74+MIN(SUM(AR70:OFFSET(AQ70,,$R75-ROUND((DATEDIF($U75,AQ$4,"M")/6-TRUNC(DATEDIF($U75,AQ$4,"M")/6))*$R75,0))),0),0),MAX(MINSUM(AQ70:$BS70),0)),0)+IF(AQ$4=$U74,$R74,0)</f>
        <v>0</v>
      </c>
      <c r="AR76" s="68">
        <f ca="1">IF(AR$4&gt;=$U76,IF(OR(MINSUM(AR70:$BS70)=0,$R76="Y"),MAX(AR74-$R74+MIN(SUM(AS70:OFFSET(AR70,,$R75-ROUND((DATEDIF($U75,AR$4,"M")/6-TRUNC(DATEDIF($U75,AR$4,"M")/6))*$R75,0))),0),0),MAX(MINSUM(AR70:$BS70),0)),0)+IF(AR$4=$U74,$R74,0)</f>
        <v>0</v>
      </c>
      <c r="AS76" s="68">
        <f ca="1">IF(AS$4&gt;=$U76,IF(OR(MINSUM(AS70:$BS70)=0,$R76="Y"),MAX(AS74-$R74+MIN(SUM(AT70:OFFSET(AS70,,$R75-ROUND((DATEDIF($U75,AS$4,"M")/6-TRUNC(DATEDIF($U75,AS$4,"M")/6))*$R75,0))),0),0),MAX(MINSUM(AS70:$BS70),0)),0)+IF(AS$4=$U74,$R74,0)</f>
        <v>0</v>
      </c>
      <c r="AT76" s="68">
        <f ca="1">IF(AT$4&gt;=$U76,IF(OR(MINSUM(AT70:$BS70)=0,$R76="Y"),MAX(AT74-$R74+MIN(SUM(AU70:OFFSET(AT70,,$R75-ROUND((DATEDIF($U75,AT$4,"M")/6-TRUNC(DATEDIF($U75,AT$4,"M")/6))*$R75,0))),0),0),MAX(MINSUM(AT70:$BS70),0)),0)+IF(AT$4=$U74,$R74,0)</f>
        <v>0</v>
      </c>
      <c r="AU76" s="68">
        <f ca="1">IF(AU$4&gt;=$U76,IF(OR(MINSUM(AU70:$BS70)=0,$R76="Y"),MAX(AU74-$R74+MIN(SUM(AV70:OFFSET(AU70,,$R75-ROUND((DATEDIF($U75,AU$4,"M")/6-TRUNC(DATEDIF($U75,AU$4,"M")/6))*$R75,0))),0),0),MAX(MINSUM(AU70:$BS70),0)),0)+IF(AU$4=$U74,$R74,0)</f>
        <v>0</v>
      </c>
      <c r="AV76" s="68">
        <f ca="1">IF(AV$4&gt;=$U76,IF(OR(MINSUM(AV70:$BS70)=0,$R76="Y"),MAX(AV74-$R74+MIN(SUM(AW70:OFFSET(AV70,,$R75-ROUND((DATEDIF($U75,AV$4,"M")/6-TRUNC(DATEDIF($U75,AV$4,"M")/6))*$R75,0))),0),0),MAX(MINSUM(AV70:$BS70),0)),0)+IF(AV$4=$U74,$R74,0)</f>
        <v>0</v>
      </c>
      <c r="AW76" s="68">
        <f ca="1">IF(AW$4&gt;=$U76,IF(OR(MINSUM(AW70:$BS70)=0,$R76="Y"),MAX(AW74-$R74+MIN(SUM(AX70:OFFSET(AW70,,$R75-ROUND((DATEDIF($U75,AW$4,"M")/6-TRUNC(DATEDIF($U75,AW$4,"M")/6))*$R75,0))),0),0),MAX(MINSUM(AW70:$BS70),0)),0)+IF(AW$4=$U74,$R74,0)</f>
        <v>0</v>
      </c>
      <c r="AX76" s="68">
        <f ca="1">IF(AX$4&gt;=$U76,IF(OR(MINSUM(AX70:$BS70)=0,$R76="Y"),MAX(AX74-$R74+MIN(SUM(AY70:OFFSET(AX70,,$R75-ROUND((DATEDIF($U75,AX$4,"M")/6-TRUNC(DATEDIF($U75,AX$4,"M")/6))*$R75,0))),0),0),MAX(MINSUM(AX70:$BS70),0)),0)+IF(AX$4=$U74,$R74,0)</f>
        <v>10760000</v>
      </c>
      <c r="AY76" s="68">
        <f ca="1">IF(AY$4&gt;=$U76,IF(OR(MINSUM(AY70:$BS70)=0,$R76="Y"),MAX(AY74-$R74+MIN(SUM(AZ70:OFFSET(AY70,,$R75-ROUND((DATEDIF($U75,AY$4,"M")/6-TRUNC(DATEDIF($U75,AY$4,"M")/6))*$R75,0))),0),0),MAX(MINSUM(AY70:$BS70),0)),0)+IF(AY$4=$U74,$R74,0)</f>
        <v>250000</v>
      </c>
      <c r="AZ76" s="68">
        <f ca="1">IF(AZ$4&gt;=$U76,IF(OR(MINSUM(AZ70:$BS70)=0,$R76="Y"),MAX(AZ74-$R74+MIN(SUM(BA70:OFFSET(AZ70,,$R75-ROUND((DATEDIF($U75,AZ$4,"M")/6-TRUNC(DATEDIF($U75,AZ$4,"M")/6))*$R75,0))),0),0),MAX(MINSUM(AZ70:$BS70),0)),0)+IF(AZ$4=$U74,$R74,0)</f>
        <v>0</v>
      </c>
      <c r="BA76" s="68">
        <f ca="1">IF(BA$4&gt;=$U76,IF(OR(MINSUM(BA70:$BS70)=0,$R76="Y"),MAX(BA74-$R74+MIN(SUM(BB70:OFFSET(BA70,,$R75-ROUND((DATEDIF($U75,BA$4,"M")/6-TRUNC(DATEDIF($U75,BA$4,"M")/6))*$R75,0))),0),0),MAX(MINSUM(BA70:$BS70),0)),0)+IF(BA$4=$U74,$R74,0)</f>
        <v>0</v>
      </c>
      <c r="BB76" s="68">
        <f ca="1">IF(BB$4&gt;=$U76,IF(OR(MINSUM(BB70:$BS70)=0,$R76="Y"),MAX(BB74-$R74+MIN(SUM(BC70:OFFSET(BB70,,$R75-ROUND((DATEDIF($U75,BB$4,"M")/6-TRUNC(DATEDIF($U75,BB$4,"M")/6))*$R75,0))),0),0),MAX(MINSUM(BB70:$BS70),0)),0)+IF(BB$4=$U74,$R74,0)</f>
        <v>0</v>
      </c>
      <c r="BC76" s="68">
        <f ca="1">IF(BC$4&gt;=$U76,IF(OR(MINSUM(BC70:$BS70)=0,$R76="Y"),MAX(BC74-$R74+MIN(SUM(BD70:OFFSET(BC70,,$R75-ROUND((DATEDIF($U75,BC$4,"M")/6-TRUNC(DATEDIF($U75,BC$4,"M")/6))*$R75,0))),0),0),MAX(MINSUM(BC70:$BS70),0)),0)+IF(BC$4=$U74,$R74,0)</f>
        <v>0</v>
      </c>
      <c r="BD76" s="68">
        <f ca="1">IF(BD$4&gt;=$U76,IF(OR(MINSUM(BD70:$BS70)=0,$R76="Y"),MAX(BD74-$R74+MIN(SUM(BE70:OFFSET(BD70,,$R75-ROUND((DATEDIF($U75,BD$4,"M")/6-TRUNC(DATEDIF($U75,BD$4,"M")/6))*$R75,0))),0),0),MAX(MINSUM(BD70:$BS70),0)),0)+IF(BD$4=$U74,$R74,0)</f>
        <v>0</v>
      </c>
      <c r="BE76" s="68">
        <f ca="1">IF(BE$4&gt;=$U76,IF(OR(MINSUM(BE70:$BS70)=0,$R76="Y"),MAX(BE74-$R74+MIN(SUM(BF70:OFFSET(BE70,,$R75-ROUND((DATEDIF($U75,BE$4,"M")/6-TRUNC(DATEDIF($U75,BE$4,"M")/6))*$R75,0))),0),0),MAX(MINSUM(BE70:$BS70),0)),0)+IF(BE$4=$U74,$R74,0)</f>
        <v>0</v>
      </c>
      <c r="BF76" s="68">
        <f ca="1">IF(BF$4&gt;=$U76,IF(OR(MINSUM(BF70:$BS70)=0,$R76="Y"),MAX(BF74-$R74+MIN(SUM(BG70:OFFSET(BF70,,$R75-ROUND((DATEDIF($U75,BF$4,"M")/6-TRUNC(DATEDIF($U75,BF$4,"M")/6))*$R75,0))),0),0),MAX(MINSUM(BF70:$BS70),0)),0)+IF(BF$4=$U74,$R74,0)</f>
        <v>0</v>
      </c>
      <c r="BG76" s="68">
        <f ca="1">IF(BG$4&gt;=$U76,IF(OR(MINSUM(BG70:$BS70)=0,$R76="Y"),MAX(BG74-$R74+MIN(SUM(BH70:OFFSET(BG70,,$R75-ROUND((DATEDIF($U75,BG$4,"M")/6-TRUNC(DATEDIF($U75,BG$4,"M")/6))*$R75,0))),0),0),MAX(MINSUM(BG70:$BS70),0)),0)+IF(BG$4=$U74,$R74,0)</f>
        <v>0</v>
      </c>
      <c r="BH76" s="68">
        <f ca="1">IF(BH$4&gt;=$U76,IF(OR(MINSUM(BH70:$BS70)=0,$R76="Y"),MAX(BH74-$R74+MIN(SUM(BI70:OFFSET(BH70,,$R75-ROUND((DATEDIF($U75,BH$4,"M")/6-TRUNC(DATEDIF($U75,BH$4,"M")/6))*$R75,0))),0),0),MAX(MINSUM(BH70:$BS70),0)),0)+IF(BH$4=$U74,$R74,0)</f>
        <v>0</v>
      </c>
      <c r="BI76" s="68">
        <f ca="1">IF(BI$4&gt;=$U76,IF(OR(MINSUM(BI70:$BS70)=0,$R76="Y"),MAX(BI74-$R74+MIN(SUM(BJ70:OFFSET(BI70,,$R75-ROUND((DATEDIF($U75,BI$4,"M")/6-TRUNC(DATEDIF($U75,BI$4,"M")/6))*$R75,0))),0),0),MAX(MINSUM(BI70:$BS70),0)),0)+IF(BI$4=$U74,$R74,0)</f>
        <v>0</v>
      </c>
      <c r="BJ76" s="68">
        <f ca="1">IF(BJ$4&gt;=$U76,IF(OR(MINSUM(BJ70:$BS70)=0,$R76="Y"),MAX(BJ74-$R74+MIN(SUM(BK70:OFFSET(BJ70,,$R75-ROUND((DATEDIF($U75,BJ$4,"M")/6-TRUNC(DATEDIF($U75,BJ$4,"M")/6))*$R75,0))),0),0),MAX(MINSUM(BJ70:$BS70),0)),0)+IF(BJ$4=$U74,$R74,0)</f>
        <v>0</v>
      </c>
      <c r="BK76" s="68">
        <f ca="1">IF(BK$4&gt;=$U76,IF(OR(MINSUM(BK70:$BS70)=0,$R76="Y"),MAX(BK74-$R74+MIN(SUM(BL70:OFFSET(BK70,,$R75-ROUND((DATEDIF($U75,BK$4,"M")/6-TRUNC(DATEDIF($U75,BK$4,"M")/6))*$R75,0))),0),0),MAX(MINSUM(BK70:$BS70),0)),0)+IF(BK$4=$U74,$R74,0)</f>
        <v>0</v>
      </c>
      <c r="BL76" s="68">
        <f ca="1">IF(BL$4&gt;=$U76,IF(OR(MINSUM(BL70:$BS70)=0,$R76="Y"),MAX(BL74-$R74+MIN(SUM(BM70:OFFSET(BL70,,$R75-ROUND((DATEDIF($U75,BL$4,"M")/6-TRUNC(DATEDIF($U75,BL$4,"M")/6))*$R75,0))),0),0),MAX(MINSUM(BL70:$BS70),0)),0)+IF(BL$4=$U74,$R74,0)</f>
        <v>0</v>
      </c>
      <c r="BM76" s="68">
        <f ca="1">IF(BM$4&gt;=$U76,IF(OR(MINSUM(BM70:$BS70)=0,$R76="Y"),MAX(BM74-$R74+MIN(SUM(BN70:OFFSET(BM70,,$R75-ROUND((DATEDIF($U75,BM$4,"M")/6-TRUNC(DATEDIF($U75,BM$4,"M")/6))*$R75,0))),0),0),MAX(MINSUM(BM70:$BS70),0)),0)+IF(BM$4=$U74,$R74,0)</f>
        <v>0</v>
      </c>
      <c r="BN76" s="68">
        <f ca="1">IF(BN$4&gt;=$U76,IF(OR(MINSUM(BN70:$BS70)=0,$R76="Y"),MAX(BN74-$R74+MIN(SUM(BO70:OFFSET(BN70,,$R75-ROUND((DATEDIF($U75,BN$4,"M")/6-TRUNC(DATEDIF($U75,BN$4,"M")/6))*$R75,0))),0),0),MAX(MINSUM(BN70:$BS70),0)),0)+IF(BN$4=$U74,$R74,0)</f>
        <v>0</v>
      </c>
      <c r="BO76" s="68">
        <f ca="1">IF(BO$4&gt;=$U76,IF(OR(MINSUM(BO70:$BS70)=0,$R76="Y"),MAX(BO74-$R74+MIN(SUM(BP70:OFFSET(BO70,,$R75-ROUND((DATEDIF($U75,BO$4,"M")/6-TRUNC(DATEDIF($U75,BO$4,"M")/6))*$R75,0))),0),0),MAX(MINSUM(BO70:$BS70),0)),0)+IF(BO$4=$U74,$R74,0)</f>
        <v>0</v>
      </c>
      <c r="BP76" s="68">
        <f ca="1">IF(BP$4&gt;=$U76,IF(OR(MINSUM(BP70:$BS70)=0,$R76="Y"),MAX(BP74-$R74+MIN(SUM(BQ70:OFFSET(BP70,,$R75-ROUND((DATEDIF($U75,BP$4,"M")/6-TRUNC(DATEDIF($U75,BP$4,"M")/6))*$R75,0))),0),0),MAX(MINSUM(BP70:$BS70),0)),0)+IF(BP$4=$U74,$R74,0)</f>
        <v>0</v>
      </c>
      <c r="BQ76" s="68">
        <f ca="1">IF(BQ$4&gt;=$U76,IF(OR(MINSUM(BQ70:$BS70)=0,$R76="Y"),MAX(BQ74-$R74+MIN(SUM(BR70:OFFSET(BQ70,,$R75-ROUND((DATEDIF($U75,BQ$4,"M")/6-TRUNC(DATEDIF($U75,BQ$4,"M")/6))*$R75,0))),0),0),MAX(MINSUM(BQ70:$BS70),0)),0)+IF(BQ$4=$U74,$R74,0)</f>
        <v>0</v>
      </c>
      <c r="BR76" s="68">
        <f ca="1">IF(BR$4&gt;=$U76,IF(OR(MINSUM(BR70:$BS70)=0,$R76="Y"),MAX(BR74-$R74+MIN(SUM(BS70:OFFSET(BR70,,$R75-ROUND((DATEDIF($U75,BR$4,"M")/6-TRUNC(DATEDIF($U75,BR$4,"M")/6))*$R75,0))),0),0),MAX(MINSUM(BR70:$BS70),0)),0)+IF(BR$4=$U74,$R74,0)</f>
        <v>0</v>
      </c>
      <c r="BS76" s="68">
        <f ca="1">IF(BS$4&gt;=$U76,IF(OR(MINSUM(BS70:$BS70)=0,$R76="Y"),MAX(BS74-$R74+MIN(SUM(BT70:OFFSET(BS70,,$R75-ROUND((DATEDIF($U75,BS$4,"M")/6-TRUNC(DATEDIF($U75,BS$4,"M")/6))*$R75,0))),0),0),MAX(MINSUM(BS70:$BS70),0)),0)+IF(BS$4=$U74,$R74,0)</f>
        <v>0</v>
      </c>
    </row>
    <row r="77" spans="1:71" x14ac:dyDescent="0.2">
      <c r="A77" s="36" t="s">
        <v>41</v>
      </c>
      <c r="B77" s="37" t="s">
        <v>133</v>
      </c>
      <c r="G77" s="37" t="s">
        <v>134</v>
      </c>
      <c r="R77" s="82"/>
      <c r="V77" s="69"/>
      <c r="X77" s="68">
        <f ca="1">X74+X75-X76</f>
        <v>2306881.2651427635</v>
      </c>
      <c r="Y77" s="68">
        <f t="shared" ref="Y77:BS77" ca="1" si="15">Y74+Y75-Y76</f>
        <v>2130247.9317999999</v>
      </c>
      <c r="Z77" s="68">
        <f t="shared" ca="1" si="15"/>
        <v>1803614.5985000001</v>
      </c>
      <c r="AA77" s="68">
        <f t="shared" ca="1" si="15"/>
        <v>1606981.2652</v>
      </c>
      <c r="AB77" s="68">
        <f t="shared" ca="1" si="15"/>
        <v>1202775.3015999999</v>
      </c>
      <c r="AC77" s="68">
        <f t="shared" ca="1" si="15"/>
        <v>751336.76540000003</v>
      </c>
      <c r="AD77" s="68">
        <f t="shared" ca="1" si="15"/>
        <v>3605679.6663893103</v>
      </c>
      <c r="AE77" s="68">
        <f t="shared" ca="1" si="15"/>
        <v>3137570.2370000002</v>
      </c>
      <c r="AF77" s="68">
        <f t="shared" ca="1" si="15"/>
        <v>2622117.2006000001</v>
      </c>
      <c r="AG77" s="68">
        <f t="shared" ca="1" si="15"/>
        <v>2065304.6862000001</v>
      </c>
      <c r="AH77" s="68">
        <f t="shared" ca="1" si="15"/>
        <v>1476237.5059</v>
      </c>
      <c r="AI77" s="68">
        <f t="shared" ca="1" si="15"/>
        <v>866642.75859999994</v>
      </c>
      <c r="AJ77" s="68">
        <f t="shared" ca="1" si="15"/>
        <v>859594.74732140172</v>
      </c>
      <c r="AK77" s="68">
        <f t="shared" ca="1" si="15"/>
        <v>250000</v>
      </c>
      <c r="AL77" s="68">
        <f t="shared" ca="1" si="15"/>
        <v>2635932.8196999999</v>
      </c>
      <c r="AM77" s="68">
        <f t="shared" ca="1" si="15"/>
        <v>2079120.3052999999</v>
      </c>
      <c r="AN77" s="68">
        <f t="shared" ca="1" si="15"/>
        <v>1563667.2689</v>
      </c>
      <c r="AO77" s="68">
        <f t="shared" ca="1" si="15"/>
        <v>1095557.8395</v>
      </c>
      <c r="AP77" s="68">
        <f t="shared" ca="1" si="15"/>
        <v>2002098.7286400874</v>
      </c>
      <c r="AQ77" s="68">
        <f t="shared" ca="1" si="15"/>
        <v>1633993.5257999999</v>
      </c>
      <c r="AR77" s="68">
        <f t="shared" ca="1" si="15"/>
        <v>1313120.8955000001</v>
      </c>
      <c r="AS77" s="68">
        <f t="shared" ca="1" si="15"/>
        <v>1035017.9207</v>
      </c>
      <c r="AT77" s="68">
        <f t="shared" ca="1" si="15"/>
        <v>644123.78150000004</v>
      </c>
      <c r="AU77" s="68">
        <f t="shared" ca="1" si="15"/>
        <v>434427.26280000003</v>
      </c>
      <c r="AV77" s="68">
        <f t="shared" ca="1" si="15"/>
        <v>363300</v>
      </c>
      <c r="AW77" s="68">
        <f t="shared" ca="1" si="15"/>
        <v>250000</v>
      </c>
      <c r="AX77" s="68">
        <f t="shared" ca="1" si="15"/>
        <v>1390000</v>
      </c>
      <c r="AY77" s="68">
        <f t="shared" ca="1" si="15"/>
        <v>0</v>
      </c>
      <c r="AZ77" s="68">
        <f t="shared" ca="1" si="15"/>
        <v>0</v>
      </c>
      <c r="BA77" s="68">
        <f t="shared" ca="1" si="15"/>
        <v>0</v>
      </c>
      <c r="BB77" s="68">
        <f t="shared" ca="1" si="15"/>
        <v>0</v>
      </c>
      <c r="BC77" s="68">
        <f t="shared" ca="1" si="15"/>
        <v>0</v>
      </c>
      <c r="BD77" s="68">
        <f t="shared" ca="1" si="15"/>
        <v>0</v>
      </c>
      <c r="BE77" s="68">
        <f t="shared" ca="1" si="15"/>
        <v>0</v>
      </c>
      <c r="BF77" s="68">
        <f t="shared" ca="1" si="15"/>
        <v>0</v>
      </c>
      <c r="BG77" s="68">
        <f t="shared" ca="1" si="15"/>
        <v>0</v>
      </c>
      <c r="BH77" s="68">
        <f t="shared" ca="1" si="15"/>
        <v>0</v>
      </c>
      <c r="BI77" s="68">
        <f t="shared" ca="1" si="15"/>
        <v>0</v>
      </c>
      <c r="BJ77" s="68">
        <f t="shared" ca="1" si="15"/>
        <v>0</v>
      </c>
      <c r="BK77" s="68">
        <f t="shared" ca="1" si="15"/>
        <v>0</v>
      </c>
      <c r="BL77" s="68">
        <f t="shared" ca="1" si="15"/>
        <v>0</v>
      </c>
      <c r="BM77" s="68">
        <f t="shared" ca="1" si="15"/>
        <v>0</v>
      </c>
      <c r="BN77" s="68">
        <f t="shared" ca="1" si="15"/>
        <v>0</v>
      </c>
      <c r="BO77" s="68">
        <f t="shared" ca="1" si="15"/>
        <v>0</v>
      </c>
      <c r="BP77" s="68">
        <f t="shared" ca="1" si="15"/>
        <v>0</v>
      </c>
      <c r="BQ77" s="68">
        <f t="shared" ca="1" si="15"/>
        <v>0</v>
      </c>
      <c r="BR77" s="68">
        <f t="shared" ca="1" si="15"/>
        <v>0</v>
      </c>
      <c r="BS77" s="68">
        <f t="shared" ca="1" si="15"/>
        <v>0</v>
      </c>
    </row>
    <row r="78" spans="1:71" s="63" customFormat="1" x14ac:dyDescent="0.2">
      <c r="A78" s="62" t="s">
        <v>41</v>
      </c>
      <c r="B78" s="63" t="s">
        <v>135</v>
      </c>
      <c r="G78" s="63" t="s">
        <v>119</v>
      </c>
      <c r="I78" s="65"/>
      <c r="R78" s="95" t="s">
        <v>91</v>
      </c>
      <c r="S78" s="96">
        <f ca="1">-V78/MIN(X79:BS79)</f>
        <v>0.42801556416648379</v>
      </c>
      <c r="T78" s="95" t="s">
        <v>92</v>
      </c>
      <c r="U78" s="96">
        <f t="array" aca="1" ref="U78" ca="1">((1+IRR(OFFSET($W78,,MATCH(TRUE,$X78:$BS78&lt;&gt;0,0)):OFFSET($W78,,MATCH($V79,$X79:$BS79,0)),10%))^12)-1</f>
        <v>0.24666337229270452</v>
      </c>
      <c r="V78" s="66">
        <f ca="1">SUM(X78:BS78)</f>
        <v>3299999.9998064376</v>
      </c>
      <c r="X78" s="67">
        <f t="shared" ref="X78:BS78" ca="1" si="16">X76-X75</f>
        <v>-2306881.2651427635</v>
      </c>
      <c r="Y78" s="67">
        <f t="shared" ca="1" si="16"/>
        <v>0</v>
      </c>
      <c r="Z78" s="67">
        <f t="shared" ca="1" si="16"/>
        <v>0</v>
      </c>
      <c r="AA78" s="67">
        <f t="shared" ca="1" si="16"/>
        <v>0</v>
      </c>
      <c r="AB78" s="67">
        <f t="shared" ca="1" si="16"/>
        <v>0</v>
      </c>
      <c r="AC78" s="67">
        <f t="shared" ca="1" si="16"/>
        <v>0</v>
      </c>
      <c r="AD78" s="67">
        <f t="shared" ca="1" si="16"/>
        <v>-3355679.6663893103</v>
      </c>
      <c r="AE78" s="67">
        <f t="shared" ca="1" si="16"/>
        <v>0</v>
      </c>
      <c r="AF78" s="67">
        <f t="shared" ca="1" si="16"/>
        <v>0</v>
      </c>
      <c r="AG78" s="67">
        <f t="shared" ca="1" si="16"/>
        <v>0</v>
      </c>
      <c r="AH78" s="67">
        <f t="shared" ca="1" si="16"/>
        <v>0</v>
      </c>
      <c r="AI78" s="67">
        <f t="shared" ca="1" si="16"/>
        <v>0</v>
      </c>
      <c r="AJ78" s="67">
        <f t="shared" ca="1" si="16"/>
        <v>-609594.74732140172</v>
      </c>
      <c r="AK78" s="67">
        <f t="shared" ca="1" si="16"/>
        <v>0</v>
      </c>
      <c r="AL78" s="67">
        <f t="shared" ca="1" si="16"/>
        <v>0</v>
      </c>
      <c r="AM78" s="67">
        <f t="shared" ca="1" si="16"/>
        <v>0</v>
      </c>
      <c r="AN78" s="67">
        <f t="shared" ca="1" si="16"/>
        <v>0</v>
      </c>
      <c r="AO78" s="67">
        <f t="shared" ca="1" si="16"/>
        <v>0</v>
      </c>
      <c r="AP78" s="67">
        <f t="shared" ca="1" si="16"/>
        <v>-1324544.3212400875</v>
      </c>
      <c r="AQ78" s="67">
        <f t="shared" ca="1" si="16"/>
        <v>0</v>
      </c>
      <c r="AR78" s="67">
        <f t="shared" ca="1" si="16"/>
        <v>0</v>
      </c>
      <c r="AS78" s="67">
        <f t="shared" ca="1" si="16"/>
        <v>0</v>
      </c>
      <c r="AT78" s="67">
        <f t="shared" ca="1" si="16"/>
        <v>0</v>
      </c>
      <c r="AU78" s="67">
        <f t="shared" ca="1" si="16"/>
        <v>0</v>
      </c>
      <c r="AV78" s="67">
        <f t="shared" ca="1" si="16"/>
        <v>-113300.0001</v>
      </c>
      <c r="AW78" s="67">
        <f t="shared" ca="1" si="16"/>
        <v>0</v>
      </c>
      <c r="AX78" s="67">
        <f t="shared" ca="1" si="16"/>
        <v>10760000</v>
      </c>
      <c r="AY78" s="67">
        <f t="shared" ca="1" si="16"/>
        <v>250000</v>
      </c>
      <c r="AZ78" s="67">
        <f t="shared" ca="1" si="16"/>
        <v>0</v>
      </c>
      <c r="BA78" s="67">
        <f t="shared" ca="1" si="16"/>
        <v>0</v>
      </c>
      <c r="BB78" s="67">
        <f t="shared" ca="1" si="16"/>
        <v>0</v>
      </c>
      <c r="BC78" s="67">
        <f t="shared" ca="1" si="16"/>
        <v>0</v>
      </c>
      <c r="BD78" s="67">
        <f t="shared" ca="1" si="16"/>
        <v>0</v>
      </c>
      <c r="BE78" s="67">
        <f t="shared" ca="1" si="16"/>
        <v>0</v>
      </c>
      <c r="BF78" s="67">
        <f t="shared" ca="1" si="16"/>
        <v>0</v>
      </c>
      <c r="BG78" s="67">
        <f t="shared" ca="1" si="16"/>
        <v>0</v>
      </c>
      <c r="BH78" s="67">
        <f t="shared" ca="1" si="16"/>
        <v>0</v>
      </c>
      <c r="BI78" s="67">
        <f t="shared" ca="1" si="16"/>
        <v>0</v>
      </c>
      <c r="BJ78" s="67">
        <f t="shared" ca="1" si="16"/>
        <v>0</v>
      </c>
      <c r="BK78" s="67">
        <f t="shared" ca="1" si="16"/>
        <v>0</v>
      </c>
      <c r="BL78" s="67">
        <f t="shared" ca="1" si="16"/>
        <v>0</v>
      </c>
      <c r="BM78" s="67">
        <f t="shared" ca="1" si="16"/>
        <v>0</v>
      </c>
      <c r="BN78" s="67">
        <f t="shared" ca="1" si="16"/>
        <v>0</v>
      </c>
      <c r="BO78" s="67">
        <f t="shared" ca="1" si="16"/>
        <v>0</v>
      </c>
      <c r="BP78" s="67">
        <f t="shared" ca="1" si="16"/>
        <v>0</v>
      </c>
      <c r="BQ78" s="67">
        <f t="shared" ca="1" si="16"/>
        <v>0</v>
      </c>
      <c r="BR78" s="67">
        <f t="shared" ca="1" si="16"/>
        <v>0</v>
      </c>
      <c r="BS78" s="67">
        <f t="shared" ca="1" si="16"/>
        <v>0</v>
      </c>
    </row>
    <row r="79" spans="1:71" s="89" customFormat="1" x14ac:dyDescent="0.2">
      <c r="A79" s="88" t="s">
        <v>41</v>
      </c>
      <c r="B79" s="89" t="s">
        <v>136</v>
      </c>
      <c r="G79" s="89" t="str">
        <f>"Cumulative "&amp;G78</f>
        <v>Cumulative Unlevered Investor's Cash Flow</v>
      </c>
      <c r="I79" s="90"/>
      <c r="V79" s="91">
        <f ca="1">$BS79</f>
        <v>3299999.9998064376</v>
      </c>
      <c r="X79" s="92">
        <f t="shared" ref="X79:BS79" ca="1" si="17">W79+X78</f>
        <v>-2306881.2651427635</v>
      </c>
      <c r="Y79" s="92">
        <f t="shared" ca="1" si="17"/>
        <v>-2306881.2651427635</v>
      </c>
      <c r="Z79" s="92">
        <f t="shared" ca="1" si="17"/>
        <v>-2306881.2651427635</v>
      </c>
      <c r="AA79" s="92">
        <f t="shared" ca="1" si="17"/>
        <v>-2306881.2651427635</v>
      </c>
      <c r="AB79" s="92">
        <f t="shared" ca="1" si="17"/>
        <v>-2306881.2651427635</v>
      </c>
      <c r="AC79" s="92">
        <f t="shared" ca="1" si="17"/>
        <v>-2306881.2651427635</v>
      </c>
      <c r="AD79" s="92">
        <f ca="1">AC79+AD78</f>
        <v>-5662560.9315320738</v>
      </c>
      <c r="AE79" s="92">
        <f t="shared" ca="1" si="17"/>
        <v>-5662560.9315320738</v>
      </c>
      <c r="AF79" s="92">
        <f t="shared" ca="1" si="17"/>
        <v>-5662560.9315320738</v>
      </c>
      <c r="AG79" s="92">
        <f t="shared" ca="1" si="17"/>
        <v>-5662560.9315320738</v>
      </c>
      <c r="AH79" s="92">
        <f t="shared" ca="1" si="17"/>
        <v>-5662560.9315320738</v>
      </c>
      <c r="AI79" s="92">
        <f t="shared" ca="1" si="17"/>
        <v>-5662560.9315320738</v>
      </c>
      <c r="AJ79" s="92">
        <f t="shared" ca="1" si="17"/>
        <v>-6272155.6788534755</v>
      </c>
      <c r="AK79" s="92">
        <f t="shared" ca="1" si="17"/>
        <v>-6272155.6788534755</v>
      </c>
      <c r="AL79" s="92">
        <f t="shared" ca="1" si="17"/>
        <v>-6272155.6788534755</v>
      </c>
      <c r="AM79" s="92">
        <f t="shared" ca="1" si="17"/>
        <v>-6272155.6788534755</v>
      </c>
      <c r="AN79" s="92">
        <f t="shared" ca="1" si="17"/>
        <v>-6272155.6788534755</v>
      </c>
      <c r="AO79" s="92">
        <f t="shared" ca="1" si="17"/>
        <v>-6272155.6788534755</v>
      </c>
      <c r="AP79" s="92">
        <f t="shared" ca="1" si="17"/>
        <v>-7596700.0000935625</v>
      </c>
      <c r="AQ79" s="92">
        <f t="shared" ca="1" si="17"/>
        <v>-7596700.0000935625</v>
      </c>
      <c r="AR79" s="92">
        <f t="shared" ca="1" si="17"/>
        <v>-7596700.0000935625</v>
      </c>
      <c r="AS79" s="92">
        <f t="shared" ca="1" si="17"/>
        <v>-7596700.0000935625</v>
      </c>
      <c r="AT79" s="92">
        <f t="shared" ca="1" si="17"/>
        <v>-7596700.0000935625</v>
      </c>
      <c r="AU79" s="92">
        <f t="shared" ca="1" si="17"/>
        <v>-7596700.0000935625</v>
      </c>
      <c r="AV79" s="92">
        <f t="shared" ca="1" si="17"/>
        <v>-7710000.0001935624</v>
      </c>
      <c r="AW79" s="92">
        <f t="shared" ca="1" si="17"/>
        <v>-7710000.0001935624</v>
      </c>
      <c r="AX79" s="92">
        <f t="shared" ca="1" si="17"/>
        <v>3049999.9998064376</v>
      </c>
      <c r="AY79" s="92">
        <f t="shared" ca="1" si="17"/>
        <v>3299999.9998064376</v>
      </c>
      <c r="AZ79" s="92">
        <f t="shared" ca="1" si="17"/>
        <v>3299999.9998064376</v>
      </c>
      <c r="BA79" s="92">
        <f t="shared" ca="1" si="17"/>
        <v>3299999.9998064376</v>
      </c>
      <c r="BB79" s="92">
        <f t="shared" ca="1" si="17"/>
        <v>3299999.9998064376</v>
      </c>
      <c r="BC79" s="92">
        <f t="shared" ca="1" si="17"/>
        <v>3299999.9998064376</v>
      </c>
      <c r="BD79" s="92">
        <f t="shared" ca="1" si="17"/>
        <v>3299999.9998064376</v>
      </c>
      <c r="BE79" s="92">
        <f t="shared" ca="1" si="17"/>
        <v>3299999.9998064376</v>
      </c>
      <c r="BF79" s="92">
        <f t="shared" ca="1" si="17"/>
        <v>3299999.9998064376</v>
      </c>
      <c r="BG79" s="92">
        <f t="shared" ca="1" si="17"/>
        <v>3299999.9998064376</v>
      </c>
      <c r="BH79" s="92">
        <f t="shared" ca="1" si="17"/>
        <v>3299999.9998064376</v>
      </c>
      <c r="BI79" s="92">
        <f t="shared" ca="1" si="17"/>
        <v>3299999.9998064376</v>
      </c>
      <c r="BJ79" s="92">
        <f t="shared" ca="1" si="17"/>
        <v>3299999.9998064376</v>
      </c>
      <c r="BK79" s="92">
        <f t="shared" ca="1" si="17"/>
        <v>3299999.9998064376</v>
      </c>
      <c r="BL79" s="92">
        <f t="shared" ca="1" si="17"/>
        <v>3299999.9998064376</v>
      </c>
      <c r="BM79" s="92">
        <f t="shared" ca="1" si="17"/>
        <v>3299999.9998064376</v>
      </c>
      <c r="BN79" s="92">
        <f t="shared" ca="1" si="17"/>
        <v>3299999.9998064376</v>
      </c>
      <c r="BO79" s="92">
        <f t="shared" ca="1" si="17"/>
        <v>3299999.9998064376</v>
      </c>
      <c r="BP79" s="92">
        <f t="shared" ca="1" si="17"/>
        <v>3299999.9998064376</v>
      </c>
      <c r="BQ79" s="92">
        <f t="shared" ca="1" si="17"/>
        <v>3299999.9998064376</v>
      </c>
      <c r="BR79" s="92">
        <f t="shared" ca="1" si="17"/>
        <v>3299999.9998064376</v>
      </c>
      <c r="BS79" s="92">
        <f t="shared" ca="1" si="17"/>
        <v>3299999.9998064376</v>
      </c>
    </row>
    <row r="80" spans="1:71" x14ac:dyDescent="0.2">
      <c r="V80" s="81"/>
      <c r="X80" s="68"/>
      <c r="Y80" s="68"/>
      <c r="Z80" s="68"/>
      <c r="AA80" s="68"/>
      <c r="AB80" s="68"/>
      <c r="AC80" s="68"/>
      <c r="AD80" s="68"/>
      <c r="AE80" s="68"/>
      <c r="AF80" s="68"/>
      <c r="AG80" s="68"/>
      <c r="AH80" s="68"/>
      <c r="AI80" s="68"/>
      <c r="AJ80" s="68"/>
      <c r="AK80" s="68"/>
      <c r="AL80" s="68"/>
      <c r="AM80" s="68"/>
      <c r="AN80" s="68"/>
      <c r="AO80" s="68"/>
      <c r="AP80" s="68"/>
      <c r="AQ80" s="68"/>
      <c r="AR80" s="68"/>
      <c r="AS80" s="68"/>
      <c r="AT80" s="68"/>
      <c r="AU80" s="68"/>
      <c r="AV80" s="68"/>
      <c r="AW80" s="68"/>
      <c r="AX80" s="68"/>
      <c r="AY80" s="68"/>
      <c r="AZ80" s="68"/>
      <c r="BA80" s="68"/>
      <c r="BB80" s="68"/>
      <c r="BC80" s="68"/>
      <c r="BD80" s="68"/>
      <c r="BE80" s="68"/>
      <c r="BF80" s="68"/>
      <c r="BG80" s="68"/>
      <c r="BH80" s="68"/>
      <c r="BI80" s="68"/>
      <c r="BJ80" s="68"/>
      <c r="BK80" s="68"/>
      <c r="BL80" s="68"/>
      <c r="BM80" s="68"/>
      <c r="BN80" s="68"/>
      <c r="BO80" s="68"/>
      <c r="BP80" s="68"/>
      <c r="BQ80" s="68"/>
      <c r="BR80" s="68"/>
      <c r="BS80" s="68"/>
    </row>
    <row r="81" spans="1:71" x14ac:dyDescent="0.2">
      <c r="A81" s="36" t="s">
        <v>37</v>
      </c>
      <c r="G81" s="38" t="s">
        <v>137</v>
      </c>
      <c r="V81" s="81"/>
      <c r="X81" s="68"/>
      <c r="Y81" s="68"/>
      <c r="Z81" s="68"/>
      <c r="AA81" s="68"/>
      <c r="AB81" s="68"/>
      <c r="AC81" s="68"/>
      <c r="AD81" s="68"/>
      <c r="AE81" s="68"/>
      <c r="AF81" s="68"/>
      <c r="AG81" s="68"/>
      <c r="AH81" s="68"/>
      <c r="AI81" s="68"/>
      <c r="AJ81" s="68"/>
      <c r="AK81" s="68"/>
      <c r="AL81" s="68"/>
      <c r="AM81" s="68"/>
      <c r="AN81" s="68"/>
      <c r="AO81" s="68"/>
      <c r="AP81" s="68"/>
      <c r="AQ81" s="68"/>
      <c r="AR81" s="68"/>
      <c r="AS81" s="68"/>
      <c r="AT81" s="68"/>
      <c r="AU81" s="68"/>
      <c r="AV81" s="68"/>
      <c r="AW81" s="68"/>
      <c r="AX81" s="68"/>
      <c r="AY81" s="68"/>
      <c r="AZ81" s="68"/>
      <c r="BA81" s="68"/>
      <c r="BB81" s="68"/>
      <c r="BC81" s="68"/>
      <c r="BD81" s="68"/>
      <c r="BE81" s="68"/>
      <c r="BF81" s="68"/>
      <c r="BG81" s="68"/>
      <c r="BH81" s="68"/>
      <c r="BI81" s="68"/>
      <c r="BJ81" s="68"/>
      <c r="BK81" s="68"/>
      <c r="BL81" s="68"/>
      <c r="BM81" s="68"/>
      <c r="BN81" s="68"/>
      <c r="BO81" s="68"/>
      <c r="BP81" s="68"/>
      <c r="BQ81" s="68"/>
      <c r="BR81" s="68"/>
      <c r="BS81" s="68"/>
    </row>
    <row r="82" spans="1:71" x14ac:dyDescent="0.2">
      <c r="V82" s="81"/>
      <c r="X82" s="68"/>
      <c r="Y82" s="68"/>
      <c r="Z82" s="68"/>
      <c r="AA82" s="68"/>
      <c r="AB82" s="68"/>
      <c r="AC82" s="68"/>
      <c r="AD82" s="68"/>
      <c r="AE82" s="68"/>
      <c r="AF82" s="68"/>
      <c r="AG82" s="68"/>
      <c r="AH82" s="68"/>
      <c r="AI82" s="68"/>
      <c r="AJ82" s="68"/>
      <c r="AK82" s="68"/>
      <c r="AL82" s="68"/>
      <c r="AM82" s="68"/>
      <c r="AN82" s="68"/>
      <c r="AO82" s="68"/>
      <c r="AP82" s="68"/>
      <c r="AQ82" s="68"/>
      <c r="AR82" s="68"/>
      <c r="AS82" s="68"/>
      <c r="AT82" s="68"/>
      <c r="AU82" s="68"/>
      <c r="AV82" s="68"/>
      <c r="AW82" s="68"/>
      <c r="AX82" s="68"/>
      <c r="AY82" s="68"/>
      <c r="AZ82" s="68"/>
      <c r="BA82" s="68"/>
      <c r="BB82" s="68"/>
      <c r="BC82" s="68"/>
      <c r="BD82" s="68"/>
      <c r="BE82" s="68"/>
      <c r="BF82" s="68"/>
      <c r="BG82" s="68"/>
      <c r="BH82" s="68"/>
      <c r="BI82" s="68"/>
      <c r="BJ82" s="68"/>
      <c r="BK82" s="68"/>
      <c r="BL82" s="68"/>
      <c r="BM82" s="68"/>
      <c r="BN82" s="68"/>
      <c r="BO82" s="68"/>
      <c r="BP82" s="68"/>
      <c r="BQ82" s="68"/>
      <c r="BR82" s="68"/>
      <c r="BS82" s="68"/>
    </row>
    <row r="83" spans="1:71" x14ac:dyDescent="0.2">
      <c r="A83" s="36" t="s">
        <v>39</v>
      </c>
      <c r="G83" s="38" t="s">
        <v>138</v>
      </c>
      <c r="V83" s="69"/>
    </row>
    <row r="84" spans="1:71" x14ac:dyDescent="0.2">
      <c r="A84" s="36" t="s">
        <v>41</v>
      </c>
      <c r="B84" s="37" t="s">
        <v>139</v>
      </c>
      <c r="G84" s="37" t="str">
        <f>$G$16&amp;" Loan Balance"</f>
        <v>Direct Manufacturing Loan Balance</v>
      </c>
      <c r="P84" s="77" t="s">
        <v>140</v>
      </c>
      <c r="Q84" s="53">
        <f>U9</f>
        <v>44986</v>
      </c>
      <c r="R84" s="77" t="s">
        <v>141</v>
      </c>
      <c r="S84" s="109">
        <v>0.5</v>
      </c>
      <c r="T84" s="77" t="s">
        <v>55</v>
      </c>
      <c r="U84" s="53">
        <f>EDATE(Gaussian_Start,0)</f>
        <v>44317</v>
      </c>
      <c r="V84" s="81">
        <f ca="1">MAX(X84:BS84)</f>
        <v>2500000</v>
      </c>
      <c r="X84" s="68">
        <f>MAX(IF(X$4&gt;=$U84,SUM($X18:X18)*$S84,0)-IF(AND(X$4&gt;=$Q84,$Q84&lt;&gt;0),IF(X$4&gt;=$U84,SUM($X18:X18)*$S84,0),IF($Q84&lt;&gt;0,0,$S84*$V18*SUM($X10:X10)/$V10)),0)</f>
        <v>0</v>
      </c>
      <c r="Y84" s="68">
        <f>MAX(IF(Y$4&gt;=$U84,SUM($X18:Y18)*$S84,0)-IF(AND(Y$4&gt;=$Q84,$Q84&lt;&gt;0),IF(Y$4&gt;=$U84,SUM($X18:Y18)*$S84,0),IF($Q84&lt;&gt;0,0,$S84*$V18*SUM($X10:Y10)/$V10)),0)</f>
        <v>0</v>
      </c>
      <c r="Z84" s="68">
        <f>MAX(IF(Z$4&gt;=$U84,SUM($X18:Z18)*$S84,0)-IF(AND(Z$4&gt;=$Q84,$Q84&lt;&gt;0),IF(Z$4&gt;=$U84,SUM($X18:Z18)*$S84,0),IF($Q84&lt;&gt;0,0,$S84*$V18*SUM($X10:Z10)/$V10)),0)</f>
        <v>0</v>
      </c>
      <c r="AA84" s="68">
        <f>MAX(IF(AA$4&gt;=$U84,SUM($X18:AA18)*$S84,0)-IF(AND(AA$4&gt;=$Q84,$Q84&lt;&gt;0),IF(AA$4&gt;=$U84,SUM($X18:AA18)*$S84,0),IF($Q84&lt;&gt;0,0,$S84*$V18*SUM($X10:AA10)/$V10)),0)</f>
        <v>0</v>
      </c>
      <c r="AB84" s="68">
        <f ca="1">MAX(IF(AB$4&gt;=$U84,SUM($X18:AB18)*$S84,0)-IF(AND(AB$4&gt;=$Q84,$Q84&lt;&gt;0),IF(AB$4&gt;=$U84,SUM($X18:AB18)*$S84,0),IF($Q84&lt;&gt;0,0,$S84*$V18*SUM($X10:AB10)/$V10)),0)</f>
        <v>75640.712262389279</v>
      </c>
      <c r="AC84" s="68">
        <f ca="1">MAX(IF(AC$4&gt;=$U84,SUM($X18:AC18)*$S84,0)-IF(AND(AC$4&gt;=$Q84,$Q84&lt;&gt;0),IF(AC$4&gt;=$U84,SUM($X18:AC18)*$S84,0),IF($Q84&lt;&gt;0,0,$S84*$V18*SUM($X10:AC10)/$V10)),0)</f>
        <v>168801.60180871829</v>
      </c>
      <c r="AD84" s="68">
        <f ca="1">MAX(IF(AD$4&gt;=$U84,SUM($X18:AD18)*$S84,0)-IF(AND(AD$4&gt;=$Q84,$Q84&lt;&gt;0),IF(AD$4&gt;=$U84,SUM($X18:AD18)*$S84,0),IF($Q84&lt;&gt;0,0,$S84*$V18*SUM($X10:AD10)/$V10)),0)</f>
        <v>280397.41679406073</v>
      </c>
      <c r="AE84" s="68">
        <f ca="1">MAX(IF(AE$4&gt;=$U84,SUM($X18:AE18)*$S84,0)-IF(AND(AE$4&gt;=$Q84,$Q84&lt;&gt;0),IF(AE$4&gt;=$U84,SUM($X18:AE18)*$S84,0),IF($Q84&lt;&gt;0,0,$S84*$V18*SUM($X10:AE10)/$V10)),0)</f>
        <v>410413.91177699028</v>
      </c>
      <c r="AF84" s="68">
        <f ca="1">MAX(IF(AF$4&gt;=$U84,SUM($X18:AF18)*$S84,0)-IF(AND(AF$4&gt;=$Q84,$Q84&lt;&gt;0),IF(AF$4&gt;=$U84,SUM($X18:AF18)*$S84,0),IF($Q84&lt;&gt;0,0,$S84*$V18*SUM($X10:AF10)/$V10)),0)</f>
        <v>557741.90194006776</v>
      </c>
      <c r="AG84" s="68">
        <f ca="1">MAX(IF(AG$4&gt;=$U84,SUM($X18:AG18)*$S84,0)-IF(AND(AG$4&gt;=$Q84,$Q84&lt;&gt;0),IF(AG$4&gt;=$U84,SUM($X18:AG18)*$S84,0),IF($Q84&lt;&gt;0,0,$S84*$V18*SUM($X10:AG10)/$V10)),0)</f>
        <v>720112.85465106228</v>
      </c>
      <c r="AH84" s="68">
        <f ca="1">MAX(IF(AH$4&gt;=$U84,SUM($X18:AH18)*$S84,0)-IF(AND(AH$4&gt;=$Q84,$Q84&lt;&gt;0),IF(AH$4&gt;=$U84,SUM($X18:AH18)*$S84,0),IF($Q84&lt;&gt;0,0,$S84*$V18*SUM($X10:AH10)/$V10)),0)</f>
        <v>894160.3099367813</v>
      </c>
      <c r="AI84" s="68">
        <f ca="1">MAX(IF(AI$4&gt;=$U84,SUM($X18:AI18)*$S84,0)-IF(AND(AI$4&gt;=$Q84,$Q84&lt;&gt;0),IF(AI$4&gt;=$U84,SUM($X18:AI18)*$S84,0),IF($Q84&lt;&gt;0,0,$S84*$V18*SUM($X10:AI10)/$V10)),0)</f>
        <v>1075612.9458011012</v>
      </c>
      <c r="AJ84" s="68">
        <f ca="1">MAX(IF(AJ$4&gt;=$U84,SUM($X18:AJ18)*$S84,0)-IF(AND(AJ$4&gt;=$Q84,$Q84&lt;&gt;0),IF(AJ$4&gt;=$U84,SUM($X18:AJ18)*$S84,0),IF($Q84&lt;&gt;0,0,$S84*$V18*SUM($X10:AJ10)/$V10)),0)</f>
        <v>1259603.3396885514</v>
      </c>
      <c r="AK84" s="68">
        <f ca="1">MAX(IF(AK$4&gt;=$U84,SUM($X18:AK18)*$S84,0)-IF(AND(AK$4&gt;=$Q84,$Q84&lt;&gt;0),IF(AK$4&gt;=$U84,SUM($X18:AK18)*$S84,0),IF($Q84&lt;&gt;0,0,$S84*$V18*SUM($X10:AK10)/$V10)),0)</f>
        <v>1441055.9755528711</v>
      </c>
      <c r="AL84" s="110">
        <f ca="1">MAX(IF(AL$4&gt;=$U84,SUM($X18:AL18)*$S84,0)-IF(AND(AL$4&gt;=$Q84,$Q84&lt;&gt;0),IF(AL$4&gt;=$U84,SUM($X18:AL18)*$S84,0),IF($Q84&lt;&gt;0,0,$S84*$V18*SUM($X10:AL10)/$V10)),0)</f>
        <v>1615103.43083859</v>
      </c>
      <c r="AM84" s="110">
        <f ca="1">MAX(IF(AM$4&gt;=$U84,SUM($X18:AM18)*$S84,0)-IF(AND(AM$4&gt;=$Q84,$Q84&lt;&gt;0),IF(AM$4&gt;=$U84,SUM($X18:AM18)*$S84,0),IF($Q84&lt;&gt;0,0,$S84*$V18*SUM($X10:AM10)/$V10)),0)</f>
        <v>1777474.3835495845</v>
      </c>
      <c r="AN84" s="110">
        <f ca="1">MAX(IF(AN$4&gt;=$U84,SUM($X18:AN18)*$S84,0)-IF(AND(AN$4&gt;=$Q84,$Q84&lt;&gt;0),IF(AN$4&gt;=$U84,SUM($X18:AN18)*$S84,0),IF($Q84&lt;&gt;0,0,$S84*$V18*SUM($X10:AN10)/$V10)),0)</f>
        <v>1924802.3737126619</v>
      </c>
      <c r="AO84" s="110">
        <f ca="1">MAX(IF(AO$4&gt;=$U84,SUM($X18:AO18)*$S84,0)-IF(AND(AO$4&gt;=$Q84,$Q84&lt;&gt;0),IF(AO$4&gt;=$U84,SUM($X18:AO18)*$S84,0),IF($Q84&lt;&gt;0,0,$S84*$V18*SUM($X10:AO10)/$V10)),0)</f>
        <v>2054818.8686955916</v>
      </c>
      <c r="AP84" s="110">
        <f ca="1">MAX(IF(AP$4&gt;=$U84,SUM($X18:AP18)*$S84,0)-IF(AND(AP$4&gt;=$Q84,$Q84&lt;&gt;0),IF(AP$4&gt;=$U84,SUM($X18:AP18)*$S84,0),IF($Q84&lt;&gt;0,0,$S84*$V18*SUM($X10:AP10)/$V10)),0)</f>
        <v>2166414.6836809339</v>
      </c>
      <c r="AQ84" s="110">
        <f ca="1">MAX(IF(AQ$4&gt;=$U84,SUM($X18:AQ18)*$S84,0)-IF(AND(AQ$4&gt;=$Q84,$Q84&lt;&gt;0),IF(AQ$4&gt;=$U84,SUM($X18:AQ18)*$S84,0),IF($Q84&lt;&gt;0,0,$S84*$V18*SUM($X10:AQ10)/$V10)),0)</f>
        <v>2259575.5732272631</v>
      </c>
      <c r="AR84" s="68">
        <f ca="1">MAX(IF(AR$4&gt;=$U84,SUM($X18:AR18)*$S84,0)-IF(AND(AR$4&gt;=$Q84,$Q84&lt;&gt;0),IF(AR$4&gt;=$U84,SUM($X18:AR18)*$S84,0),IF($Q84&lt;&gt;0,0,$S84*$V18*SUM($X10:AR10)/$V10)),0)</f>
        <v>2335216.2854896523</v>
      </c>
      <c r="AS84" s="68">
        <f ca="1">MAX(IF(AS$4&gt;=$U84,SUM($X18:AS18)*$S84,0)-IF(AND(AS$4&gt;=$Q84,$Q84&lt;&gt;0),IF(AS$4&gt;=$U84,SUM($X18:AS18)*$S84,0),IF($Q84&lt;&gt;0,0,$S84*$V18*SUM($X10:AS10)/$V10)),0)</f>
        <v>2394949.2208354478</v>
      </c>
      <c r="AT84" s="68">
        <f ca="1">MAX(IF(AT$4&gt;=$U84,SUM($X18:AT18)*$S84,0)-IF(AND(AT$4&gt;=$Q84,$Q84&lt;&gt;0),IF(AT$4&gt;=$U84,SUM($X18:AT18)*$S84,0),IF($Q84&lt;&gt;0,0,$S84*$V18*SUM($X10:AT10)/$V10)),0)</f>
        <v>2440827.631945088</v>
      </c>
      <c r="AU84" s="68">
        <f ca="1">MAX(IF(AU$4&gt;=$U84,SUM($X18:AU18)*$S84,0)-IF(AND(AU$4&gt;=$Q84,$Q84&lt;&gt;0),IF(AU$4&gt;=$U84,SUM($X18:AU18)*$S84,0),IF($Q84&lt;&gt;0,0,$S84*$V18*SUM($X10:AU10)/$V10)),0)</f>
        <v>2475099.607930426</v>
      </c>
      <c r="AV84" s="68">
        <f ca="1">MAX(IF(AV$4&gt;=$U84,SUM($X18:AV18)*$S84,0)-IF(AND(AV$4&gt;=$Q84,$Q84&lt;&gt;0),IF(AV$4&gt;=$U84,SUM($X18:AV18)*$S84,0),IF($Q84&lt;&gt;0,0,$S84*$V18*SUM($X10:AV10)/$V10)),0)</f>
        <v>2500000</v>
      </c>
      <c r="AW84" s="68">
        <f ca="1">MAX(IF(AW$4&gt;=$U84,SUM($X18:AW18)*$S84,0)-IF(AND(AW$4&gt;=$Q84,$Q84&lt;&gt;0),IF(AW$4&gt;=$U84,SUM($X18:AW18)*$S84,0),IF($Q84&lt;&gt;0,0,$S84*$V18*SUM($X10:AW10)/$V10)),0)</f>
        <v>2500000</v>
      </c>
      <c r="AX84" s="68">
        <f ca="1">MAX(IF(AX$4&gt;=$U84,SUM($X18:AX18)*$S84,0)-IF(AND(AX$4&gt;=$Q84,$Q84&lt;&gt;0),IF(AX$4&gt;=$U84,SUM($X18:AX18)*$S84,0),IF($Q84&lt;&gt;0,0,$S84*$V18*SUM($X10:AX10)/$V10)),0)</f>
        <v>0</v>
      </c>
      <c r="AY84" s="68">
        <f ca="1">MAX(IF(AY$4&gt;=$U84,SUM($X18:AY18)*$S84,0)-IF(AND(AY$4&gt;=$Q84,$Q84&lt;&gt;0),IF(AY$4&gt;=$U84,SUM($X18:AY18)*$S84,0),IF($Q84&lt;&gt;0,0,$S84*$V18*SUM($X10:AY10)/$V10)),0)</f>
        <v>0</v>
      </c>
      <c r="AZ84" s="68">
        <f ca="1">MAX(IF(AZ$4&gt;=$U84,SUM($X18:AZ18)*$S84,0)-IF(AND(AZ$4&gt;=$Q84,$Q84&lt;&gt;0),IF(AZ$4&gt;=$U84,SUM($X18:AZ18)*$S84,0),IF($Q84&lt;&gt;0,0,$S84*$V18*SUM($X10:AZ10)/$V10)),0)</f>
        <v>0</v>
      </c>
      <c r="BA84" s="68">
        <f ca="1">MAX(IF(BA$4&gt;=$U84,SUM($X18:BA18)*$S84,0)-IF(AND(BA$4&gt;=$Q84,$Q84&lt;&gt;0),IF(BA$4&gt;=$U84,SUM($X18:BA18)*$S84,0),IF($Q84&lt;&gt;0,0,$S84*$V18*SUM($X10:BA10)/$V10)),0)</f>
        <v>0</v>
      </c>
      <c r="BB84" s="68">
        <f ca="1">MAX(IF(BB$4&gt;=$U84,SUM($X18:BB18)*$S84,0)-IF(AND(BB$4&gt;=$Q84,$Q84&lt;&gt;0),IF(BB$4&gt;=$U84,SUM($X18:BB18)*$S84,0),IF($Q84&lt;&gt;0,0,$S84*$V18*SUM($X10:BB10)/$V10)),0)</f>
        <v>0</v>
      </c>
      <c r="BC84" s="68">
        <f ca="1">MAX(IF(BC$4&gt;=$U84,SUM($X18:BC18)*$S84,0)-IF(AND(BC$4&gt;=$Q84,$Q84&lt;&gt;0),IF(BC$4&gt;=$U84,SUM($X18:BC18)*$S84,0),IF($Q84&lt;&gt;0,0,$S84*$V18*SUM($X10:BC10)/$V10)),0)</f>
        <v>0</v>
      </c>
      <c r="BD84" s="68">
        <f ca="1">MAX(IF(BD$4&gt;=$U84,SUM($X18:BD18)*$S84,0)-IF(AND(BD$4&gt;=$Q84,$Q84&lt;&gt;0),IF(BD$4&gt;=$U84,SUM($X18:BD18)*$S84,0),IF($Q84&lt;&gt;0,0,$S84*$V18*SUM($X10:BD10)/$V10)),0)</f>
        <v>0</v>
      </c>
      <c r="BE84" s="68">
        <f ca="1">MAX(IF(BE$4&gt;=$U84,SUM($X18:BE18)*$S84,0)-IF(AND(BE$4&gt;=$Q84,$Q84&lt;&gt;0),IF(BE$4&gt;=$U84,SUM($X18:BE18)*$S84,0),IF($Q84&lt;&gt;0,0,$S84*$V18*SUM($X10:BE10)/$V10)),0)</f>
        <v>0</v>
      </c>
      <c r="BF84" s="68">
        <f ca="1">MAX(IF(BF$4&gt;=$U84,SUM($X18:BF18)*$S84,0)-IF(AND(BF$4&gt;=$Q84,$Q84&lt;&gt;0),IF(BF$4&gt;=$U84,SUM($X18:BF18)*$S84,0),IF($Q84&lt;&gt;0,0,$S84*$V18*SUM($X10:BF10)/$V10)),0)</f>
        <v>0</v>
      </c>
      <c r="BG84" s="68">
        <f ca="1">MAX(IF(BG$4&gt;=$U84,SUM($X18:BG18)*$S84,0)-IF(AND(BG$4&gt;=$Q84,$Q84&lt;&gt;0),IF(BG$4&gt;=$U84,SUM($X18:BG18)*$S84,0),IF($Q84&lt;&gt;0,0,$S84*$V18*SUM($X10:BG10)/$V10)),0)</f>
        <v>0</v>
      </c>
      <c r="BH84" s="68">
        <f ca="1">MAX(IF(BH$4&gt;=$U84,SUM($X18:BH18)*$S84,0)-IF(AND(BH$4&gt;=$Q84,$Q84&lt;&gt;0),IF(BH$4&gt;=$U84,SUM($X18:BH18)*$S84,0),IF($Q84&lt;&gt;0,0,$S84*$V18*SUM($X10:BH10)/$V10)),0)</f>
        <v>0</v>
      </c>
      <c r="BI84" s="68">
        <f ca="1">MAX(IF(BI$4&gt;=$U84,SUM($X18:BI18)*$S84,0)-IF(AND(BI$4&gt;=$Q84,$Q84&lt;&gt;0),IF(BI$4&gt;=$U84,SUM($X18:BI18)*$S84,0),IF($Q84&lt;&gt;0,0,$S84*$V18*SUM($X10:BI10)/$V10)),0)</f>
        <v>0</v>
      </c>
      <c r="BJ84" s="68">
        <f ca="1">MAX(IF(BJ$4&gt;=$U84,SUM($X18:BJ18)*$S84,0)-IF(AND(BJ$4&gt;=$Q84,$Q84&lt;&gt;0),IF(BJ$4&gt;=$U84,SUM($X18:BJ18)*$S84,0),IF($Q84&lt;&gt;0,0,$S84*$V18*SUM($X10:BJ10)/$V10)),0)</f>
        <v>0</v>
      </c>
      <c r="BK84" s="68">
        <f ca="1">MAX(IF(BK$4&gt;=$U84,SUM($X18:BK18)*$S84,0)-IF(AND(BK$4&gt;=$Q84,$Q84&lt;&gt;0),IF(BK$4&gt;=$U84,SUM($X18:BK18)*$S84,0),IF($Q84&lt;&gt;0,0,$S84*$V18*SUM($X10:BK10)/$V10)),0)</f>
        <v>0</v>
      </c>
      <c r="BL84" s="68">
        <f ca="1">MAX(IF(BL$4&gt;=$U84,SUM($X18:BL18)*$S84,0)-IF(AND(BL$4&gt;=$Q84,$Q84&lt;&gt;0),IF(BL$4&gt;=$U84,SUM($X18:BL18)*$S84,0),IF($Q84&lt;&gt;0,0,$S84*$V18*SUM($X10:BL10)/$V10)),0)</f>
        <v>0</v>
      </c>
      <c r="BM84" s="68">
        <f ca="1">MAX(IF(BM$4&gt;=$U84,SUM($X18:BM18)*$S84,0)-IF(AND(BM$4&gt;=$Q84,$Q84&lt;&gt;0),IF(BM$4&gt;=$U84,SUM($X18:BM18)*$S84,0),IF($Q84&lt;&gt;0,0,$S84*$V18*SUM($X10:BM10)/$V10)),0)</f>
        <v>0</v>
      </c>
      <c r="BN84" s="68">
        <f ca="1">MAX(IF(BN$4&gt;=$U84,SUM($X18:BN18)*$S84,0)-IF(AND(BN$4&gt;=$Q84,$Q84&lt;&gt;0),IF(BN$4&gt;=$U84,SUM($X18:BN18)*$S84,0),IF($Q84&lt;&gt;0,0,$S84*$V18*SUM($X10:BN10)/$V10)),0)</f>
        <v>0</v>
      </c>
      <c r="BO84" s="68">
        <f ca="1">MAX(IF(BO$4&gt;=$U84,SUM($X18:BO18)*$S84,0)-IF(AND(BO$4&gt;=$Q84,$Q84&lt;&gt;0),IF(BO$4&gt;=$U84,SUM($X18:BO18)*$S84,0),IF($Q84&lt;&gt;0,0,$S84*$V18*SUM($X10:BO10)/$V10)),0)</f>
        <v>0</v>
      </c>
      <c r="BP84" s="68">
        <f ca="1">MAX(IF(BP$4&gt;=$U84,SUM($X18:BP18)*$S84,0)-IF(AND(BP$4&gt;=$Q84,$Q84&lt;&gt;0),IF(BP$4&gt;=$U84,SUM($X18:BP18)*$S84,0),IF($Q84&lt;&gt;0,0,$S84*$V18*SUM($X10:BP10)/$V10)),0)</f>
        <v>0</v>
      </c>
      <c r="BQ84" s="68">
        <f ca="1">MAX(IF(BQ$4&gt;=$U84,SUM($X18:BQ18)*$S84,0)-IF(AND(BQ$4&gt;=$Q84,$Q84&lt;&gt;0),IF(BQ$4&gt;=$U84,SUM($X18:BQ18)*$S84,0),IF($Q84&lt;&gt;0,0,$S84*$V18*SUM($X10:BQ10)/$V10)),0)</f>
        <v>0</v>
      </c>
      <c r="BR84" s="68">
        <f ca="1">MAX(IF(BR$4&gt;=$U84,SUM($X18:BR18)*$S84,0)-IF(AND(BR$4&gt;=$Q84,$Q84&lt;&gt;0),IF(BR$4&gt;=$U84,SUM($X18:BR18)*$S84,0),IF($Q84&lt;&gt;0,0,$S84*$V18*SUM($X10:BR10)/$V10)),0)</f>
        <v>0</v>
      </c>
      <c r="BS84" s="68">
        <f ca="1">MAX(IF(BS$4&gt;=$U84,SUM($X18:BS18)*$S84,0)-IF(AND(BS$4&gt;=$Q84,$Q84&lt;&gt;0),IF(BS$4&gt;=$U84,SUM($X18:BS18)*$S84,0),IF($Q84&lt;&gt;0,0,$S84*$V18*SUM($X10:BS10)/$V10)),0)</f>
        <v>0</v>
      </c>
    </row>
    <row r="85" spans="1:71" x14ac:dyDescent="0.2">
      <c r="A85" s="36" t="s">
        <v>41</v>
      </c>
      <c r="B85" s="37" t="s">
        <v>142</v>
      </c>
      <c r="G85" s="37" t="str">
        <f>"Other Loan Balance"</f>
        <v>Other Loan Balance</v>
      </c>
      <c r="T85" s="111"/>
      <c r="V85" s="81">
        <f>MAX(X85:BS85)</f>
        <v>0</v>
      </c>
      <c r="X85" s="68">
        <v>0</v>
      </c>
      <c r="Y85" s="68">
        <v>0</v>
      </c>
      <c r="Z85" s="68">
        <v>0</v>
      </c>
      <c r="AA85" s="68">
        <v>0</v>
      </c>
      <c r="AB85" s="68">
        <v>0</v>
      </c>
      <c r="AC85" s="68">
        <v>0</v>
      </c>
      <c r="AD85" s="68">
        <v>0</v>
      </c>
      <c r="AE85" s="68">
        <v>0</v>
      </c>
      <c r="AF85" s="68">
        <v>0</v>
      </c>
      <c r="AG85" s="68">
        <v>0</v>
      </c>
      <c r="AH85" s="68">
        <v>0</v>
      </c>
      <c r="AI85" s="68">
        <v>0</v>
      </c>
      <c r="AJ85" s="68">
        <v>0</v>
      </c>
      <c r="AK85" s="68">
        <v>0</v>
      </c>
      <c r="AL85" s="68">
        <v>0</v>
      </c>
      <c r="AM85" s="68">
        <v>0</v>
      </c>
      <c r="AN85" s="68">
        <v>0</v>
      </c>
      <c r="AO85" s="68">
        <v>0</v>
      </c>
      <c r="AP85" s="68">
        <v>0</v>
      </c>
      <c r="AQ85" s="68">
        <v>0</v>
      </c>
      <c r="AR85" s="68">
        <v>0</v>
      </c>
      <c r="AS85" s="68">
        <v>0</v>
      </c>
      <c r="AT85" s="68">
        <v>0</v>
      </c>
      <c r="AU85" s="68">
        <v>0</v>
      </c>
      <c r="AV85" s="68">
        <v>0</v>
      </c>
      <c r="AW85" s="68">
        <v>0</v>
      </c>
      <c r="AX85" s="68">
        <v>0</v>
      </c>
      <c r="AY85" s="68">
        <v>0</v>
      </c>
      <c r="AZ85" s="68">
        <v>0</v>
      </c>
      <c r="BA85" s="68">
        <v>0</v>
      </c>
      <c r="BB85" s="68">
        <v>0</v>
      </c>
      <c r="BC85" s="68">
        <v>0</v>
      </c>
      <c r="BD85" s="68">
        <v>0</v>
      </c>
      <c r="BE85" s="68">
        <v>0</v>
      </c>
      <c r="BF85" s="68">
        <v>0</v>
      </c>
      <c r="BG85" s="68">
        <v>0</v>
      </c>
      <c r="BH85" s="68">
        <v>0</v>
      </c>
      <c r="BI85" s="68">
        <v>0</v>
      </c>
      <c r="BJ85" s="68">
        <v>0</v>
      </c>
      <c r="BK85" s="68">
        <v>0</v>
      </c>
      <c r="BL85" s="68">
        <v>0</v>
      </c>
      <c r="BM85" s="68">
        <v>0</v>
      </c>
      <c r="BN85" s="68">
        <v>0</v>
      </c>
      <c r="BO85" s="68">
        <v>0</v>
      </c>
      <c r="BP85" s="68">
        <v>0</v>
      </c>
      <c r="BQ85" s="68">
        <v>0</v>
      </c>
      <c r="BR85" s="68">
        <v>0</v>
      </c>
      <c r="BS85" s="68">
        <v>0</v>
      </c>
    </row>
    <row r="86" spans="1:71" s="57" customFormat="1" x14ac:dyDescent="0.2">
      <c r="A86" s="56" t="s">
        <v>41</v>
      </c>
      <c r="B86" s="57" t="s">
        <v>143</v>
      </c>
      <c r="G86" s="57" t="str">
        <f>"Total "&amp;G83</f>
        <v>Total Loan Balance</v>
      </c>
      <c r="I86" s="58"/>
      <c r="V86" s="112">
        <f ca="1">MAX(X86:BS86)</f>
        <v>2500000</v>
      </c>
      <c r="X86" s="113">
        <f ca="1">SUBTOTAL(9,OFFSET(X83,1,0):OFFSET(X86,-1,0))</f>
        <v>0</v>
      </c>
      <c r="Y86" s="113">
        <f ca="1">SUBTOTAL(9,OFFSET(Y83,1,0):OFFSET(Y86,-1,0))</f>
        <v>0</v>
      </c>
      <c r="Z86" s="113">
        <f ca="1">SUBTOTAL(9,OFFSET(Z83,1,0):OFFSET(Z86,-1,0))</f>
        <v>0</v>
      </c>
      <c r="AA86" s="113">
        <f ca="1">SUBTOTAL(9,OFFSET(AA83,1,0):OFFSET(AA86,-1,0))</f>
        <v>0</v>
      </c>
      <c r="AB86" s="113">
        <f ca="1">SUBTOTAL(9,OFFSET(AB83,1,0):OFFSET(AB86,-1,0))</f>
        <v>75640.712262389279</v>
      </c>
      <c r="AC86" s="113">
        <f ca="1">SUBTOTAL(9,OFFSET(AC83,1,0):OFFSET(AC86,-1,0))</f>
        <v>168801.60180871829</v>
      </c>
      <c r="AD86" s="113">
        <f ca="1">SUBTOTAL(9,OFFSET(AD83,1,0):OFFSET(AD86,-1,0))</f>
        <v>280397.41679406073</v>
      </c>
      <c r="AE86" s="113">
        <f ca="1">SUBTOTAL(9,OFFSET(AE83,1,0):OFFSET(AE86,-1,0))</f>
        <v>410413.91177699028</v>
      </c>
      <c r="AF86" s="113">
        <f ca="1">SUBTOTAL(9,OFFSET(AF83,1,0):OFFSET(AF86,-1,0))</f>
        <v>557741.90194006776</v>
      </c>
      <c r="AG86" s="113">
        <f ca="1">SUBTOTAL(9,OFFSET(AG83,1,0):OFFSET(AG86,-1,0))</f>
        <v>720112.85465106228</v>
      </c>
      <c r="AH86" s="113">
        <f ca="1">SUBTOTAL(9,OFFSET(AH83,1,0):OFFSET(AH86,-1,0))</f>
        <v>894160.3099367813</v>
      </c>
      <c r="AI86" s="113">
        <f ca="1">SUBTOTAL(9,OFFSET(AI83,1,0):OFFSET(AI86,-1,0))</f>
        <v>1075612.9458011012</v>
      </c>
      <c r="AJ86" s="113">
        <f ca="1">SUBTOTAL(9,OFFSET(AJ83,1,0):OFFSET(AJ86,-1,0))</f>
        <v>1259603.3396885514</v>
      </c>
      <c r="AK86" s="113">
        <f ca="1">SUBTOTAL(9,OFFSET(AK83,1,0):OFFSET(AK86,-1,0))</f>
        <v>1441055.9755528711</v>
      </c>
      <c r="AL86" s="113">
        <f ca="1">SUBTOTAL(9,OFFSET(AL83,1,0):OFFSET(AL86,-1,0))</f>
        <v>1615103.43083859</v>
      </c>
      <c r="AM86" s="113">
        <f ca="1">SUBTOTAL(9,OFFSET(AM83,1,0):OFFSET(AM86,-1,0))</f>
        <v>1777474.3835495845</v>
      </c>
      <c r="AN86" s="113">
        <f ca="1">SUBTOTAL(9,OFFSET(AN83,1,0):OFFSET(AN86,-1,0))</f>
        <v>1924802.3737126619</v>
      </c>
      <c r="AO86" s="113">
        <f ca="1">SUBTOTAL(9,OFFSET(AO83,1,0):OFFSET(AO86,-1,0))</f>
        <v>2054818.8686955916</v>
      </c>
      <c r="AP86" s="113">
        <f ca="1">SUBTOTAL(9,OFFSET(AP83,1,0):OFFSET(AP86,-1,0))</f>
        <v>2166414.6836809339</v>
      </c>
      <c r="AQ86" s="113">
        <f ca="1">SUBTOTAL(9,OFFSET(AQ83,1,0):OFFSET(AQ86,-1,0))</f>
        <v>2259575.5732272631</v>
      </c>
      <c r="AR86" s="113">
        <f ca="1">SUBTOTAL(9,OFFSET(AR83,1,0):OFFSET(AR86,-1,0))</f>
        <v>2335216.2854896523</v>
      </c>
      <c r="AS86" s="113">
        <f ca="1">SUBTOTAL(9,OFFSET(AS83,1,0):OFFSET(AS86,-1,0))</f>
        <v>2394949.2208354478</v>
      </c>
      <c r="AT86" s="113">
        <f ca="1">SUBTOTAL(9,OFFSET(AT83,1,0):OFFSET(AT86,-1,0))</f>
        <v>2440827.631945088</v>
      </c>
      <c r="AU86" s="113">
        <f ca="1">SUBTOTAL(9,OFFSET(AU83,1,0):OFFSET(AU86,-1,0))</f>
        <v>2475099.607930426</v>
      </c>
      <c r="AV86" s="113">
        <f ca="1">SUBTOTAL(9,OFFSET(AV83,1,0):OFFSET(AV86,-1,0))</f>
        <v>2500000</v>
      </c>
      <c r="AW86" s="113">
        <f ca="1">SUBTOTAL(9,OFFSET(AW83,1,0):OFFSET(AW86,-1,0))</f>
        <v>2500000</v>
      </c>
      <c r="AX86" s="113">
        <f ca="1">SUBTOTAL(9,OFFSET(AX83,1,0):OFFSET(AX86,-1,0))</f>
        <v>0</v>
      </c>
      <c r="AY86" s="113">
        <f ca="1">SUBTOTAL(9,OFFSET(AY83,1,0):OFFSET(AY86,-1,0))</f>
        <v>0</v>
      </c>
      <c r="AZ86" s="113">
        <f ca="1">SUBTOTAL(9,OFFSET(AZ83,1,0):OFFSET(AZ86,-1,0))</f>
        <v>0</v>
      </c>
      <c r="BA86" s="113">
        <f ca="1">SUBTOTAL(9,OFFSET(BA83,1,0):OFFSET(BA86,-1,0))</f>
        <v>0</v>
      </c>
      <c r="BB86" s="113">
        <f ca="1">SUBTOTAL(9,OFFSET(BB83,1,0):OFFSET(BB86,-1,0))</f>
        <v>0</v>
      </c>
      <c r="BC86" s="113">
        <f ca="1">SUBTOTAL(9,OFFSET(BC83,1,0):OFFSET(BC86,-1,0))</f>
        <v>0</v>
      </c>
      <c r="BD86" s="113">
        <f ca="1">SUBTOTAL(9,OFFSET(BD83,1,0):OFFSET(BD86,-1,0))</f>
        <v>0</v>
      </c>
      <c r="BE86" s="113">
        <f ca="1">SUBTOTAL(9,OFFSET(BE83,1,0):OFFSET(BE86,-1,0))</f>
        <v>0</v>
      </c>
      <c r="BF86" s="113">
        <f ca="1">SUBTOTAL(9,OFFSET(BF83,1,0):OFFSET(BF86,-1,0))</f>
        <v>0</v>
      </c>
      <c r="BG86" s="113">
        <f ca="1">SUBTOTAL(9,OFFSET(BG83,1,0):OFFSET(BG86,-1,0))</f>
        <v>0</v>
      </c>
      <c r="BH86" s="113">
        <f ca="1">SUBTOTAL(9,OFFSET(BH83,1,0):OFFSET(BH86,-1,0))</f>
        <v>0</v>
      </c>
      <c r="BI86" s="113">
        <f ca="1">SUBTOTAL(9,OFFSET(BI83,1,0):OFFSET(BI86,-1,0))</f>
        <v>0</v>
      </c>
      <c r="BJ86" s="113">
        <f ca="1">SUBTOTAL(9,OFFSET(BJ83,1,0):OFFSET(BJ86,-1,0))</f>
        <v>0</v>
      </c>
      <c r="BK86" s="113">
        <f ca="1">SUBTOTAL(9,OFFSET(BK83,1,0):OFFSET(BK86,-1,0))</f>
        <v>0</v>
      </c>
      <c r="BL86" s="113">
        <f ca="1">SUBTOTAL(9,OFFSET(BL83,1,0):OFFSET(BL86,-1,0))</f>
        <v>0</v>
      </c>
      <c r="BM86" s="113">
        <f ca="1">SUBTOTAL(9,OFFSET(BM83,1,0):OFFSET(BM86,-1,0))</f>
        <v>0</v>
      </c>
      <c r="BN86" s="113">
        <f ca="1">SUBTOTAL(9,OFFSET(BN83,1,0):OFFSET(BN86,-1,0))</f>
        <v>0</v>
      </c>
      <c r="BO86" s="113">
        <f ca="1">SUBTOTAL(9,OFFSET(BO83,1,0):OFFSET(BO86,-1,0))</f>
        <v>0</v>
      </c>
      <c r="BP86" s="113">
        <f ca="1">SUBTOTAL(9,OFFSET(BP83,1,0):OFFSET(BP86,-1,0))</f>
        <v>0</v>
      </c>
      <c r="BQ86" s="113">
        <f ca="1">SUBTOTAL(9,OFFSET(BQ83,1,0):OFFSET(BQ86,-1,0))</f>
        <v>0</v>
      </c>
      <c r="BR86" s="113">
        <f ca="1">SUBTOTAL(9,OFFSET(BR83,1,0):OFFSET(BR86,-1,0))</f>
        <v>0</v>
      </c>
      <c r="BS86" s="113">
        <f ca="1">SUBTOTAL(9,OFFSET(BS83,1,0):OFFSET(BS86,-1,0))</f>
        <v>0</v>
      </c>
    </row>
    <row r="87" spans="1:71" x14ac:dyDescent="0.2">
      <c r="V87" s="69"/>
    </row>
    <row r="88" spans="1:71" x14ac:dyDescent="0.2">
      <c r="A88" s="36" t="s">
        <v>39</v>
      </c>
      <c r="G88" s="38" t="s">
        <v>144</v>
      </c>
      <c r="V88" s="69"/>
      <c r="AW88" s="114"/>
      <c r="AX88" s="114"/>
      <c r="AY88" s="114"/>
      <c r="AZ88" s="114"/>
    </row>
    <row r="89" spans="1:71" x14ac:dyDescent="0.2">
      <c r="A89" s="36" t="s">
        <v>41</v>
      </c>
      <c r="B89" s="37" t="s">
        <v>145</v>
      </c>
      <c r="G89" s="37" t="str">
        <f>$G$16&amp;" Interest Expense"</f>
        <v>Direct Manufacturing Interest Expense</v>
      </c>
      <c r="P89" s="77" t="s">
        <v>146</v>
      </c>
      <c r="Q89" s="109">
        <v>0.1</v>
      </c>
      <c r="R89" s="77" t="s">
        <v>114</v>
      </c>
      <c r="S89" s="102">
        <v>3</v>
      </c>
      <c r="T89" s="77" t="s">
        <v>56</v>
      </c>
      <c r="U89" s="53">
        <f>EDATE(Q84,0)</f>
        <v>44986</v>
      </c>
      <c r="V89" s="81">
        <f ca="1">SUM(X89:BS89)</f>
        <v>520859.75541208388</v>
      </c>
      <c r="X89" s="68">
        <f ca="1">IF(AND(X$4&gt;=$U84,X$4&lt;=$U89,IFERROR(DATEDIF($U84,X$4,"M")/$S89=TRUNC(DATEDIF($U84,X$4,"M")/$S89),FALSE)),SUMPRODUCT(OFFSET(X$84,,-$S89):W$84*ROUND((X$4-OFFSET(X$4,,-$S89):W$4)/(365/12),0)*($Q89/12)),0)+IF(X$4=$U89,SUMPRODUCT(OFFSET(X$84,,-(DATEDIF($U84,X$4,"M")/$S89-TRUNC(DATEDIF($U84,X$4,"M")/$S89))*$S89):W$84*ROUND((X$4-OFFSET(X$4,,-(DATEDIF($U84,X$4,"M")/$S89-TRUNC(DATEDIF($U84,X$4,"M")/$S89))*$S89):W$4)/(365/12),0)*($Q89/12)),0)</f>
        <v>0</v>
      </c>
      <c r="Y89" s="68">
        <f ca="1">IF(AND(Y$4&gt;=$U84,Y$4&lt;=$U89,IFERROR(DATEDIF($U84,Y$4,"M")/$S89=TRUNC(DATEDIF($U84,Y$4,"M")/$S89),FALSE)),SUMPRODUCT(OFFSET(Y$84,,-$S89):X$84*ROUND((Y$4-OFFSET(Y$4,,-$S89):X$4)/(365/12),0)*($Q89/12)),0)+IF(Y$4=$U89,SUMPRODUCT(OFFSET(Y$84,,-(DATEDIF($U84,Y$4,"M")/$S89-TRUNC(DATEDIF($U84,Y$4,"M")/$S89))*$S89):X$84*ROUND((Y$4-OFFSET(Y$4,,-(DATEDIF($U84,Y$4,"M")/$S89-TRUNC(DATEDIF($U84,Y$4,"M")/$S89))*$S89):X$4)/(365/12),0)*($Q89/12)),0)</f>
        <v>0</v>
      </c>
      <c r="Z89" s="68">
        <f ca="1">IF(AND(Z$4&gt;=$U84,Z$4&lt;=$U89,IFERROR(DATEDIF($U84,Z$4,"M")/$S89=TRUNC(DATEDIF($U84,Z$4,"M")/$S89),FALSE)),SUMPRODUCT(OFFSET(Z$84,,-$S89):Y$84*ROUND((Z$4-OFFSET(Z$4,,-$S89):Y$4)/(365/12),0)*($Q89/12)),0)+IF(Z$4=$U89,SUMPRODUCT(OFFSET(Z$84,,-(DATEDIF($U84,Z$4,"M")/$S89-TRUNC(DATEDIF($U84,Z$4,"M")/$S89))*$S89):Y$84*ROUND((Z$4-OFFSET(Z$4,,-(DATEDIF($U84,Z$4,"M")/$S89-TRUNC(DATEDIF($U84,Z$4,"M")/$S89))*$S89):Y$4)/(365/12),0)*($Q89/12)),0)</f>
        <v>0</v>
      </c>
      <c r="AA89" s="68">
        <f ca="1">IF(AND(AA$4&gt;=$U84,AA$4&lt;=$U89,IFERROR(DATEDIF($U84,AA$4,"M")/$S89=TRUNC(DATEDIF($U84,AA$4,"M")/$S89),FALSE)),SUMPRODUCT(OFFSET(AA$84,,-$S89):Z$84*ROUND((AA$4-OFFSET(AA$4,,-$S89):Z$4)/(365/12),0)*($Q89/12)),0)+IF(AA$4=$U89,SUMPRODUCT(OFFSET(AA$84,,-(DATEDIF($U84,AA$4,"M")/$S89-TRUNC(DATEDIF($U84,AA$4,"M")/$S89))*$S89):Z$84*ROUND((AA$4-OFFSET(AA$4,,-(DATEDIF($U84,AA$4,"M")/$S89-TRUNC(DATEDIF($U84,AA$4,"M")/$S89))*$S89):Z$4)/(365/12),0)*($Q89/12)),0)</f>
        <v>0</v>
      </c>
      <c r="AB89" s="68">
        <f ca="1">IF(AND(AB$4&gt;=$U84,AB$4&lt;=$U89,IFERROR(DATEDIF($U84,AB$4,"M")/$S89=TRUNC(DATEDIF($U84,AB$4,"M")/$S89),FALSE)),SUMPRODUCT(OFFSET(AB$84,,-$S89):AA$84*ROUND((AB$4-OFFSET(AB$4,,-$S89):AA$4)/(365/12),0)*($Q89/12)),0)+IF(AB$4=$U89,SUMPRODUCT(OFFSET(AB$84,,-(DATEDIF($U84,AB$4,"M")/$S89-TRUNC(DATEDIF($U84,AB$4,"M")/$S89))*$S89):AA$84*ROUND((AB$4-OFFSET(AB$4,,-(DATEDIF($U84,AB$4,"M")/$S89-TRUNC(DATEDIF($U84,AB$4,"M")/$S89))*$S89):AA$4)/(365/12),0)*($Q89/12)),0)</f>
        <v>0</v>
      </c>
      <c r="AC89" s="68">
        <f ca="1">IF(AND(AC$4&gt;=$U84,AC$4&lt;=$U89,IFERROR(DATEDIF($U84,AC$4,"M")/$S89=TRUNC(DATEDIF($U84,AC$4,"M")/$S89),FALSE)),SUMPRODUCT(OFFSET(AC$84,,-$S89):AB$84*ROUND((AC$4-OFFSET(AC$4,,-$S89):AB$4)/(365/12),0)*($Q89/12)),0)+IF(AC$4=$U89,SUMPRODUCT(OFFSET(AC$84,,-(DATEDIF($U84,AC$4,"M")/$S89-TRUNC(DATEDIF($U84,AC$4,"M")/$S89))*$S89):AB$84*ROUND((AC$4-OFFSET(AC$4,,-(DATEDIF($U84,AC$4,"M")/$S89-TRUNC(DATEDIF($U84,AC$4,"M")/$S89))*$S89):AB$4)/(365/12),0)*($Q89/12)),0)</f>
        <v>0</v>
      </c>
      <c r="AD89" s="68">
        <f ca="1">IF(AND(AD$4&gt;=$U84,AD$4&lt;=$U89,IFERROR(DATEDIF($U84,AD$4,"M")/$S89=TRUNC(DATEDIF($U84,AD$4,"M")/$S89),FALSE)),SUMPRODUCT(OFFSET(AD$84,,-$S89):AC$84*ROUND((AD$4-OFFSET(AD$4,,-$S89):AC$4)/(365/12),0)*($Q89/12)),0)+IF(AD$4=$U89,SUMPRODUCT(OFFSET(AD$84,,-(DATEDIF($U84,AD$4,"M")/$S89-TRUNC(DATEDIF($U84,AD$4,"M")/$S89))*$S89):AC$84*ROUND((AD$4-OFFSET(AD$4,,-(DATEDIF($U84,AD$4,"M")/$S89-TRUNC(DATEDIF($U84,AD$4,"M")/$S89))*$S89):AC$4)/(365/12),0)*($Q89/12)),0)</f>
        <v>0</v>
      </c>
      <c r="AE89" s="68">
        <f ca="1">IF(AND(AE$4&gt;=$U84,AE$4&lt;=$U89,IFERROR(DATEDIF($U84,AE$4,"M")/$S89=TRUNC(DATEDIF($U84,AE$4,"M")/$S89),FALSE)),SUMPRODUCT(OFFSET(AE$84,,-$S89):AD$84*ROUND((AE$4-OFFSET(AE$4,,-$S89):AD$4)/(365/12),0)*($Q89/12)),0)+IF(AE$4=$U89,SUMPRODUCT(OFFSET(AE$84,,-(DATEDIF($U84,AE$4,"M")/$S89-TRUNC(DATEDIF($U84,AE$4,"M")/$S89))*$S89):AD$84*ROUND((AE$4-OFFSET(AE$4,,-(DATEDIF($U84,AE$4,"M")/$S89-TRUNC(DATEDIF($U84,AE$4,"M")/$S89))*$S89):AD$4)/(365/12),0)*($Q89/12)),0)</f>
        <v>7041.0229766555422</v>
      </c>
      <c r="AF89" s="68">
        <f ca="1">IF(AND(AF$4&gt;=$U84,AF$4&lt;=$U89,IFERROR(DATEDIF($U84,AF$4,"M")/$S89=TRUNC(DATEDIF($U84,AF$4,"M")/$S89),FALSE)),SUMPRODUCT(OFFSET(AF$84,,-$S89):AE$84*ROUND((AF$4-OFFSET(AF$4,,-$S89):AE$4)/(365/12),0)*($Q89/12)),0)+IF(AF$4=$U89,SUMPRODUCT(OFFSET(AF$84,,-(DATEDIF($U84,AF$4,"M")/$S89-TRUNC(DATEDIF($U84,AF$4,"M")/$S89))*$S89):AE$84*ROUND((AF$4-OFFSET(AF$4,,-(DATEDIF($U84,AF$4,"M")/$S89-TRUNC(DATEDIF($U84,AF$4,"M")/$S89))*$S89):AE$4)/(365/12),0)*($Q89/12)),0)</f>
        <v>0</v>
      </c>
      <c r="AG89" s="68">
        <f ca="1">IF(AND(AG$4&gt;=$U84,AG$4&lt;=$U89,IFERROR(DATEDIF($U84,AG$4,"M")/$S89=TRUNC(DATEDIF($U84,AG$4,"M")/$S89),FALSE)),SUMPRODUCT(OFFSET(AG$84,,-$S89):AF$84*ROUND((AG$4-OFFSET(AG$4,,-$S89):AF$4)/(365/12),0)*($Q89/12)),0)+IF(AG$4=$U89,SUMPRODUCT(OFFSET(AG$84,,-(DATEDIF($U84,AG$4,"M")/$S89-TRUNC(DATEDIF($U84,AG$4,"M")/$S89))*$S89):AF$84*ROUND((AG$4-OFFSET(AG$4,,-(DATEDIF($U84,AG$4,"M")/$S89-TRUNC(DATEDIF($U84,AG$4,"M")/$S89))*$S89):AF$4)/(365/12),0)*($Q89/12)),0)</f>
        <v>0</v>
      </c>
      <c r="AH89" s="68">
        <f ca="1">IF(AND(AH$4&gt;=$U84,AH$4&lt;=$U89,IFERROR(DATEDIF($U84,AH$4,"M")/$S89=TRUNC(DATEDIF($U84,AH$4,"M")/$S89),FALSE)),SUMPRODUCT(OFFSET(AH$84,,-$S89):AG$84*ROUND((AH$4-OFFSET(AH$4,,-$S89):AG$4)/(365/12),0)*($Q89/12)),0)+IF(AH$4=$U89,SUMPRODUCT(OFFSET(AH$84,,-(DATEDIF($U84,AH$4,"M")/$S89-TRUNC(DATEDIF($U84,AH$4,"M")/$S89))*$S89):AG$84*ROUND((AH$4-OFFSET(AH$4,,-(DATEDIF($U84,AH$4,"M")/$S89-TRUNC(DATEDIF($U84,AH$4,"M")/$S89))*$S89):AG$4)/(365/12),0)*($Q89/12)),0)</f>
        <v>25556.986615518075</v>
      </c>
      <c r="AI89" s="68">
        <f ca="1">IF(AND(AI$4&gt;=$U84,AI$4&lt;=$U89,IFERROR(DATEDIF($U84,AI$4,"M")/$S89=TRUNC(DATEDIF($U84,AI$4,"M")/$S89),FALSE)),SUMPRODUCT(OFFSET(AI$84,,-$S89):AH$84*ROUND((AI$4-OFFSET(AI$4,,-$S89):AH$4)/(365/12),0)*($Q89/12)),0)+IF(AI$4=$U89,SUMPRODUCT(OFFSET(AI$84,,-(DATEDIF($U84,AI$4,"M")/$S89-TRUNC(DATEDIF($U84,AI$4,"M")/$S89))*$S89):AH$84*ROUND((AI$4-OFFSET(AI$4,,-(DATEDIF($U84,AI$4,"M")/$S89-TRUNC(DATEDIF($U84,AI$4,"M")/$S89))*$S89):AH$4)/(365/12),0)*($Q89/12)),0)</f>
        <v>0</v>
      </c>
      <c r="AJ89" s="68">
        <f ca="1">IF(AND(AJ$4&gt;=$U84,AJ$4&lt;=$U89,IFERROR(DATEDIF($U84,AJ$4,"M")/$S89=TRUNC(DATEDIF($U84,AJ$4,"M")/$S89),FALSE)),SUMPRODUCT(OFFSET(AJ$84,,-$S89):AI$84*ROUND((AJ$4-OFFSET(AJ$4,,-$S89):AI$4)/(365/12),0)*($Q89/12)),0)+IF(AJ$4=$U89,SUMPRODUCT(OFFSET(AJ$84,,-(DATEDIF($U84,AJ$4,"M")/$S89-TRUNC(DATEDIF($U84,AJ$4,"M")/$S89))*$S89):AI$84*ROUND((AJ$4-OFFSET(AJ$4,,-(DATEDIF($U84,AJ$4,"M")/$S89-TRUNC(DATEDIF($U84,AJ$4,"M")/$S89))*$S89):AI$4)/(365/12),0)*($Q89/12)),0)</f>
        <v>0</v>
      </c>
      <c r="AK89" s="68">
        <f ca="1">IF(AND(AK$4&gt;=$U84,AK$4&lt;=$U89,IFERROR(DATEDIF($U84,AK$4,"M")/$S89=TRUNC(DATEDIF($U84,AK$4,"M")/$S89),FALSE)),SUMPRODUCT(OFFSET(AK$84,,-$S89):AJ$84*ROUND((AK$4-OFFSET(AK$4,,-$S89):AJ$4)/(365/12),0)*($Q89/12)),0)+IF(AK$4=$U89,SUMPRODUCT(OFFSET(AK$84,,-(DATEDIF($U84,AK$4,"M")/$S89-TRUNC(DATEDIF($U84,AK$4,"M")/$S89))*$S89):AJ$84*ROUND((AK$4-OFFSET(AK$4,,-(DATEDIF($U84,AK$4,"M")/$S89-TRUNC(DATEDIF($U84,AK$4,"M")/$S89))*$S89):AJ$4)/(365/12),0)*($Q89/12)),0)</f>
        <v>50777.584675842474</v>
      </c>
      <c r="AL89" s="68">
        <f ca="1">IF(AND(AL$4&gt;=$U84,AL$4&lt;=$U89,IFERROR(DATEDIF($U84,AL$4,"M")/$S89=TRUNC(DATEDIF($U84,AL$4,"M")/$S89),FALSE)),SUMPRODUCT(OFFSET(AL$84,,-$S89):AK$84*ROUND((AL$4-OFFSET(AL$4,,-$S89):AK$4)/(365/12),0)*($Q89/12)),0)+IF(AL$4=$U89,SUMPRODUCT(OFFSET(AL$84,,-(DATEDIF($U84,AL$4,"M")/$S89-TRUNC(DATEDIF($U84,AL$4,"M")/$S89))*$S89):AK$84*ROUND((AL$4-OFFSET(AL$4,,-(DATEDIF($U84,AL$4,"M")/$S89-TRUNC(DATEDIF($U84,AL$4,"M")/$S89))*$S89):AK$4)/(365/12),0)*($Q89/12)),0)</f>
        <v>0</v>
      </c>
      <c r="AM89" s="68">
        <f ca="1">IF(AND(AM$4&gt;=$U84,AM$4&lt;=$U89,IFERROR(DATEDIF($U84,AM$4,"M")/$S89=TRUNC(DATEDIF($U84,AM$4,"M")/$S89),FALSE)),SUMPRODUCT(OFFSET(AM$84,,-$S89):AL$84*ROUND((AM$4-OFFSET(AM$4,,-$S89):AL$4)/(365/12),0)*($Q89/12)),0)+IF(AM$4=$U89,SUMPRODUCT(OFFSET(AM$84,,-(DATEDIF($U84,AM$4,"M")/$S89-TRUNC(DATEDIF($U84,AM$4,"M")/$S89))*$S89):AL$84*ROUND((AM$4-OFFSET(AM$4,,-(DATEDIF($U84,AM$4,"M")/$S89-TRUNC(DATEDIF($U84,AM$4,"M")/$S89))*$S89):AL$4)/(365/12),0)*($Q89/12)),0)</f>
        <v>0</v>
      </c>
      <c r="AN89" s="68">
        <f ca="1">IF(AND(AN$4&gt;=$U84,AN$4&lt;=$U89,IFERROR(DATEDIF($U84,AN$4,"M")/$S89=TRUNC(DATEDIF($U84,AN$4,"M")/$S89),FALSE)),SUMPRODUCT(OFFSET(AN$84,,-$S89):AM$84*ROUND((AN$4-OFFSET(AN$4,,-$S89):AM$4)/(365/12),0)*($Q89/12)),0)+IF(AN$4=$U89,SUMPRODUCT(OFFSET(AN$84,,-(DATEDIF($U84,AN$4,"M")/$S89-TRUNC(DATEDIF($U84,AN$4,"M")/$S89))*$S89):AM$84*ROUND((AN$4-OFFSET(AN$4,,-(DATEDIF($U84,AN$4,"M")/$S89-TRUNC(DATEDIF($U84,AN$4,"M")/$S89))*$S89):AM$4)/(365/12),0)*($Q89/12)),0)</f>
        <v>77757.076432378148</v>
      </c>
      <c r="AO89" s="68">
        <f ca="1">IF(AND(AO$4&gt;=$U84,AO$4&lt;=$U89,IFERROR(DATEDIF($U84,AO$4,"M")/$S89=TRUNC(DATEDIF($U84,AO$4,"M")/$S89),FALSE)),SUMPRODUCT(OFFSET(AO$84,,-$S89):AN$84*ROUND((AO$4-OFFSET(AO$4,,-$S89):AN$4)/(365/12),0)*($Q89/12)),0)+IF(AO$4=$U89,SUMPRODUCT(OFFSET(AO$84,,-(DATEDIF($U84,AO$4,"M")/$S89-TRUNC(DATEDIF($U84,AO$4,"M")/$S89))*$S89):AN$84*ROUND((AO$4-OFFSET(AO$4,,-(DATEDIF($U84,AO$4,"M")/$S89-TRUNC(DATEDIF($U84,AO$4,"M")/$S89))*$S89):AN$4)/(365/12),0)*($Q89/12)),0)</f>
        <v>0</v>
      </c>
      <c r="AP89" s="68">
        <f ca="1">IF(AND(AP$4&gt;=$U84,AP$4&lt;=$U89,IFERROR(DATEDIF($U84,AP$4,"M")/$S89=TRUNC(DATEDIF($U84,AP$4,"M")/$S89),FALSE)),SUMPRODUCT(OFFSET(AP$84,,-$S89):AO$84*ROUND((AP$4-OFFSET(AP$4,,-$S89):AO$4)/(365/12),0)*($Q89/12)),0)+IF(AP$4=$U89,SUMPRODUCT(OFFSET(AP$84,,-(DATEDIF($U84,AP$4,"M")/$S89-TRUNC(DATEDIF($U84,AP$4,"M")/$S89))*$S89):AO$84*ROUND((AP$4-OFFSET(AP$4,,-(DATEDIF($U84,AP$4,"M")/$S89-TRUNC(DATEDIF($U84,AP$4,"M")/$S89))*$S89):AO$4)/(365/12),0)*($Q89/12)),0)</f>
        <v>0</v>
      </c>
      <c r="AQ89" s="68">
        <f ca="1">IF(AND(AQ$4&gt;=$U84,AQ$4&lt;=$U89,IFERROR(DATEDIF($U84,AQ$4,"M")/$S89=TRUNC(DATEDIF($U84,AQ$4,"M")/$S89),FALSE)),SUMPRODUCT(OFFSET(AQ$84,,-$S89):AP$84*ROUND((AQ$4-OFFSET(AQ$4,,-$S89):AP$4)/(365/12),0)*($Q89/12)),0)+IF(AQ$4=$U89,SUMPRODUCT(OFFSET(AQ$84,,-(DATEDIF($U84,AQ$4,"M")/$S89-TRUNC(DATEDIF($U84,AQ$4,"M")/$S89))*$S89):AP$84*ROUND((AQ$4-OFFSET(AQ$4,,-(DATEDIF($U84,AQ$4,"M")/$S89-TRUNC(DATEDIF($U84,AQ$4,"M")/$S89))*$S89):AP$4)/(365/12),0)*($Q89/12)),0)</f>
        <v>100420.49618508419</v>
      </c>
      <c r="AR89" s="68">
        <f ca="1">IF(AND(AR$4&gt;=$U84,AR$4&lt;=$U89,IFERROR(DATEDIF($U84,AR$4,"M")/$S89=TRUNC(DATEDIF($U84,AR$4,"M")/$S89),FALSE)),SUMPRODUCT(OFFSET(AR$84,,-$S89):AQ$84*ROUND((AR$4-OFFSET(AR$4,,-$S89):AQ$4)/(365/12),0)*($Q89/12)),0)+IF(AR$4=$U89,SUMPRODUCT(OFFSET(AR$84,,-(DATEDIF($U84,AR$4,"M")/$S89-TRUNC(DATEDIF($U84,AR$4,"M")/$S89))*$S89):AQ$84*ROUND((AR$4-OFFSET(AR$4,,-(DATEDIF($U84,AR$4,"M")/$S89-TRUNC(DATEDIF($U84,AR$4,"M")/$S89))*$S89):AQ$4)/(365/12),0)*($Q89/12)),0)</f>
        <v>0</v>
      </c>
      <c r="AS89" s="68">
        <f ca="1">IF(AND(AS$4&gt;=$U84,AS$4&lt;=$U89,IFERROR(DATEDIF($U84,AS$4,"M")/$S89=TRUNC(DATEDIF($U84,AS$4,"M")/$S89),FALSE)),SUMPRODUCT(OFFSET(AS$84,,-$S89):AR$84*ROUND((AS$4-OFFSET(AS$4,,-$S89):AR$4)/(365/12),0)*($Q89/12)),0)+IF(AS$4=$U89,SUMPRODUCT(OFFSET(AS$84,,-(DATEDIF($U84,AS$4,"M")/$S89-TRUNC(DATEDIF($U84,AS$4,"M")/$S89))*$S89):AR$84*ROUND((AS$4-OFFSET(AS$4,,-(DATEDIF($U84,AS$4,"M")/$S89-TRUNC(DATEDIF($U84,AS$4,"M")/$S89))*$S89):AR$4)/(365/12),0)*($Q89/12)),0)</f>
        <v>0</v>
      </c>
      <c r="AT89" s="68">
        <f ca="1">IF(AND(AT$4&gt;=$U84,AT$4&lt;=$U89,IFERROR(DATEDIF($U84,AT$4,"M")/$S89=TRUNC(DATEDIF($U84,AT$4,"M")/$S89),FALSE)),SUMPRODUCT(OFFSET(AT$84,,-$S89):AS$84*ROUND((AT$4-OFFSET(AT$4,,-$S89):AS$4)/(365/12),0)*($Q89/12)),0)+IF(AT$4=$U89,SUMPRODUCT(OFFSET(AT$84,,-(DATEDIF($U84,AT$4,"M")/$S89-TRUNC(DATEDIF($U84,AT$4,"M")/$S89))*$S89):AS$84*ROUND((AT$4-OFFSET(AT$4,,-(DATEDIF($U84,AT$4,"M")/$S89-TRUNC(DATEDIF($U84,AT$4,"M")/$S89))*$S89):AS$4)/(365/12),0)*($Q89/12)),0)</f>
        <v>115367.57092913783</v>
      </c>
      <c r="AU89" s="68">
        <f ca="1">IF(AND(AU$4&gt;=$U84,AU$4&lt;=$U89,IFERROR(DATEDIF($U84,AU$4,"M")/$S89=TRUNC(DATEDIF($U84,AU$4,"M")/$S89),FALSE)),SUMPRODUCT(OFFSET(AU$84,,-$S89):AT$84*ROUND((AU$4-OFFSET(AU$4,,-$S89):AT$4)/(365/12),0)*($Q89/12)),0)+IF(AU$4=$U89,SUMPRODUCT(OFFSET(AU$84,,-(DATEDIF($U84,AU$4,"M")/$S89-TRUNC(DATEDIF($U84,AU$4,"M")/$S89))*$S89):AT$84*ROUND((AU$4-OFFSET(AU$4,,-(DATEDIF($U84,AU$4,"M")/$S89-TRUNC(DATEDIF($U84,AU$4,"M")/$S89))*$S89):AT$4)/(365/12),0)*($Q89/12)),0)</f>
        <v>0</v>
      </c>
      <c r="AV89" s="68">
        <f ca="1">IF(AND(AV$4&gt;=$U84,AV$4&lt;=$U89,IFERROR(DATEDIF($U84,AV$4,"M")/$S89=TRUNC(DATEDIF($U84,AV$4,"M")/$S89),FALSE)),SUMPRODUCT(OFFSET(AV$84,,-$S89):AU$84*ROUND((AV$4-OFFSET(AV$4,,-$S89):AU$4)/(365/12),0)*($Q89/12)),0)+IF(AV$4=$U89,SUMPRODUCT(OFFSET(AV$84,,-(DATEDIF($U84,AV$4,"M")/$S89-TRUNC(DATEDIF($U84,AV$4,"M")/$S89))*$S89):AU$84*ROUND((AV$4-OFFSET(AV$4,,-(DATEDIF($U84,AV$4,"M")/$S89-TRUNC(DATEDIF($U84,AV$4,"M")/$S89))*$S89):AU$4)/(365/12),0)*($Q89/12)),0)</f>
        <v>0</v>
      </c>
      <c r="AW89" s="68">
        <f ca="1">IF(AND(AW$4&gt;=$U84,AW$4&lt;=$U89,IFERROR(DATEDIF($U84,AW$4,"M")/$S89=TRUNC(DATEDIF($U84,AW$4,"M")/$S89),FALSE)),SUMPRODUCT(OFFSET(AW$84,,-$S89):AV$84*ROUND((AW$4-OFFSET(AW$4,,-$S89):AV$4)/(365/12),0)*($Q89/12)),0)+IF(AW$4=$U89,SUMPRODUCT(OFFSET(AW$84,,-(DATEDIF($U84,AW$4,"M")/$S89-TRUNC(DATEDIF($U84,AW$4,"M")/$S89))*$S89):AV$84*ROUND((AW$4-OFFSET(AW$4,,-(DATEDIF($U84,AW$4,"M")/$S89-TRUNC(DATEDIF($U84,AW$4,"M")/$S89))*$S89):AV$4)/(365/12),0)*($Q89/12)),0)</f>
        <v>123105.6842641343</v>
      </c>
      <c r="AX89" s="68">
        <f ca="1">IF(AND(AX$4&gt;=$U84,AX$4&lt;=$U89,IFERROR(DATEDIF($U84,AX$4,"M")/$S89=TRUNC(DATEDIF($U84,AX$4,"M")/$S89),FALSE)),SUMPRODUCT(OFFSET(AX$84,,-$S89):AW$84*ROUND((AX$4-OFFSET(AX$4,,-$S89):AW$4)/(365/12),0)*($Q89/12)),0)+IF(AX$4=$U89,SUMPRODUCT(OFFSET(AX$84,,-(DATEDIF($U84,AX$4,"M")/$S89-TRUNC(DATEDIF($U84,AX$4,"M")/$S89))*$S89):AW$84*ROUND((AX$4-OFFSET(AX$4,,-(DATEDIF($U84,AX$4,"M")/$S89-TRUNC(DATEDIF($U84,AX$4,"M")/$S89))*$S89):AW$4)/(365/12),0)*($Q89/12)),0)</f>
        <v>20833.333333333332</v>
      </c>
      <c r="AY89" s="68">
        <f ca="1">IF(AND(AY$4&gt;=$U84,AY$4&lt;=$U89,IFERROR(DATEDIF($U84,AY$4,"M")/$S89=TRUNC(DATEDIF($U84,AY$4,"M")/$S89),FALSE)),SUMPRODUCT(OFFSET(AY$84,,-$S89):AX$84*ROUND((AY$4-OFFSET(AY$4,,-$S89):AX$4)/(365/12),0)*($Q89/12)),0)+IF(AY$4=$U89,SUMPRODUCT(OFFSET(AY$84,,-(DATEDIF($U84,AY$4,"M")/$S89-TRUNC(DATEDIF($U84,AY$4,"M")/$S89))*$S89):AX$84*ROUND((AY$4-OFFSET(AY$4,,-(DATEDIF($U84,AY$4,"M")/$S89-TRUNC(DATEDIF($U84,AY$4,"M")/$S89))*$S89):AX$4)/(365/12),0)*($Q89/12)),0)</f>
        <v>0</v>
      </c>
      <c r="AZ89" s="68">
        <f ca="1">IF(AND(AZ$4&gt;=$U84,AZ$4&lt;=$U89,IFERROR(DATEDIF($U84,AZ$4,"M")/$S89=TRUNC(DATEDIF($U84,AZ$4,"M")/$S89),FALSE)),SUMPRODUCT(OFFSET(AZ$84,,-$S89):AY$84*ROUND((AZ$4-OFFSET(AZ$4,,-$S89):AY$4)/(365/12),0)*($Q89/12)),0)+IF(AZ$4=$U89,SUMPRODUCT(OFFSET(AZ$84,,-(DATEDIF($U84,AZ$4,"M")/$S89-TRUNC(DATEDIF($U84,AZ$4,"M")/$S89))*$S89):AY$84*ROUND((AZ$4-OFFSET(AZ$4,,-(DATEDIF($U84,AZ$4,"M")/$S89-TRUNC(DATEDIF($U84,AZ$4,"M")/$S89))*$S89):AY$4)/(365/12),0)*($Q89/12)),0)</f>
        <v>0</v>
      </c>
      <c r="BA89" s="68">
        <f ca="1">IF(AND(BA$4&gt;=$U84,BA$4&lt;=$U89,IFERROR(DATEDIF($U84,BA$4,"M")/$S89=TRUNC(DATEDIF($U84,BA$4,"M")/$S89),FALSE)),SUMPRODUCT(OFFSET(BA$84,,-$S89):AZ$84*ROUND((BA$4-OFFSET(BA$4,,-$S89):AZ$4)/(365/12),0)*($Q89/12)),0)+IF(BA$4=$U89,SUMPRODUCT(OFFSET(BA$84,,-(DATEDIF($U84,BA$4,"M")/$S89-TRUNC(DATEDIF($U84,BA$4,"M")/$S89))*$S89):AZ$84*ROUND((BA$4-OFFSET(BA$4,,-(DATEDIF($U84,BA$4,"M")/$S89-TRUNC(DATEDIF($U84,BA$4,"M")/$S89))*$S89):AZ$4)/(365/12),0)*($Q89/12)),0)</f>
        <v>0</v>
      </c>
      <c r="BB89" s="68">
        <f ca="1">IF(AND(BB$4&gt;=$U84,BB$4&lt;=$U89,IFERROR(DATEDIF($U84,BB$4,"M")/$S89=TRUNC(DATEDIF($U84,BB$4,"M")/$S89),FALSE)),SUMPRODUCT(OFFSET(BB$84,,-$S89):BA$84*ROUND((BB$4-OFFSET(BB$4,,-$S89):BA$4)/(365/12),0)*($Q89/12)),0)+IF(BB$4=$U89,SUMPRODUCT(OFFSET(BB$84,,-(DATEDIF($U84,BB$4,"M")/$S89-TRUNC(DATEDIF($U84,BB$4,"M")/$S89))*$S89):BA$84*ROUND((BB$4-OFFSET(BB$4,,-(DATEDIF($U84,BB$4,"M")/$S89-TRUNC(DATEDIF($U84,BB$4,"M")/$S89))*$S89):BA$4)/(365/12),0)*($Q89/12)),0)</f>
        <v>0</v>
      </c>
      <c r="BC89" s="68">
        <f ca="1">IF(AND(BC$4&gt;=$U84,BC$4&lt;=$U89,IFERROR(DATEDIF($U84,BC$4,"M")/$S89=TRUNC(DATEDIF($U84,BC$4,"M")/$S89),FALSE)),SUMPRODUCT(OFFSET(BC$84,,-$S89):BB$84*ROUND((BC$4-OFFSET(BC$4,,-$S89):BB$4)/(365/12),0)*($Q89/12)),0)+IF(BC$4=$U89,SUMPRODUCT(OFFSET(BC$84,,-(DATEDIF($U84,BC$4,"M")/$S89-TRUNC(DATEDIF($U84,BC$4,"M")/$S89))*$S89):BB$84*ROUND((BC$4-OFFSET(BC$4,,-(DATEDIF($U84,BC$4,"M")/$S89-TRUNC(DATEDIF($U84,BC$4,"M")/$S89))*$S89):BB$4)/(365/12),0)*($Q89/12)),0)</f>
        <v>0</v>
      </c>
      <c r="BD89" s="68">
        <f ca="1">IF(AND(BD$4&gt;=$U84,BD$4&lt;=$U89,IFERROR(DATEDIF($U84,BD$4,"M")/$S89=TRUNC(DATEDIF($U84,BD$4,"M")/$S89),FALSE)),SUMPRODUCT(OFFSET(BD$84,,-$S89):BC$84*ROUND((BD$4-OFFSET(BD$4,,-$S89):BC$4)/(365/12),0)*($Q89/12)),0)+IF(BD$4=$U89,SUMPRODUCT(OFFSET(BD$84,,-(DATEDIF($U84,BD$4,"M")/$S89-TRUNC(DATEDIF($U84,BD$4,"M")/$S89))*$S89):BC$84*ROUND((BD$4-OFFSET(BD$4,,-(DATEDIF($U84,BD$4,"M")/$S89-TRUNC(DATEDIF($U84,BD$4,"M")/$S89))*$S89):BC$4)/(365/12),0)*($Q89/12)),0)</f>
        <v>0</v>
      </c>
      <c r="BE89" s="68">
        <f ca="1">IF(AND(BE$4&gt;=$U84,BE$4&lt;=$U89,IFERROR(DATEDIF($U84,BE$4,"M")/$S89=TRUNC(DATEDIF($U84,BE$4,"M")/$S89),FALSE)),SUMPRODUCT(OFFSET(BE$84,,-$S89):BD$84*ROUND((BE$4-OFFSET(BE$4,,-$S89):BD$4)/(365/12),0)*($Q89/12)),0)+IF(BE$4=$U89,SUMPRODUCT(OFFSET(BE$84,,-(DATEDIF($U84,BE$4,"M")/$S89-TRUNC(DATEDIF($U84,BE$4,"M")/$S89))*$S89):BD$84*ROUND((BE$4-OFFSET(BE$4,,-(DATEDIF($U84,BE$4,"M")/$S89-TRUNC(DATEDIF($U84,BE$4,"M")/$S89))*$S89):BD$4)/(365/12),0)*($Q89/12)),0)</f>
        <v>0</v>
      </c>
      <c r="BF89" s="68">
        <f ca="1">IF(AND(BF$4&gt;=$U84,BF$4&lt;=$U89,IFERROR(DATEDIF($U84,BF$4,"M")/$S89=TRUNC(DATEDIF($U84,BF$4,"M")/$S89),FALSE)),SUMPRODUCT(OFFSET(BF$84,,-$S89):BE$84*ROUND((BF$4-OFFSET(BF$4,,-$S89):BE$4)/(365/12),0)*($Q89/12)),0)+IF(BF$4=$U89,SUMPRODUCT(OFFSET(BF$84,,-(DATEDIF($U84,BF$4,"M")/$S89-TRUNC(DATEDIF($U84,BF$4,"M")/$S89))*$S89):BE$84*ROUND((BF$4-OFFSET(BF$4,,-(DATEDIF($U84,BF$4,"M")/$S89-TRUNC(DATEDIF($U84,BF$4,"M")/$S89))*$S89):BE$4)/(365/12),0)*($Q89/12)),0)</f>
        <v>0</v>
      </c>
      <c r="BG89" s="68">
        <f ca="1">IF(AND(BG$4&gt;=$U84,BG$4&lt;=$U89,IFERROR(DATEDIF($U84,BG$4,"M")/$S89=TRUNC(DATEDIF($U84,BG$4,"M")/$S89),FALSE)),SUMPRODUCT(OFFSET(BG$84,,-$S89):BF$84*ROUND((BG$4-OFFSET(BG$4,,-$S89):BF$4)/(365/12),0)*($Q89/12)),0)+IF(BG$4=$U89,SUMPRODUCT(OFFSET(BG$84,,-(DATEDIF($U84,BG$4,"M")/$S89-TRUNC(DATEDIF($U84,BG$4,"M")/$S89))*$S89):BF$84*ROUND((BG$4-OFFSET(BG$4,,-(DATEDIF($U84,BG$4,"M")/$S89-TRUNC(DATEDIF($U84,BG$4,"M")/$S89))*$S89):BF$4)/(365/12),0)*($Q89/12)),0)</f>
        <v>0</v>
      </c>
      <c r="BH89" s="68">
        <f ca="1">IF(AND(BH$4&gt;=$U84,BH$4&lt;=$U89,IFERROR(DATEDIF($U84,BH$4,"M")/$S89=TRUNC(DATEDIF($U84,BH$4,"M")/$S89),FALSE)),SUMPRODUCT(OFFSET(BH$84,,-$S89):BG$84*ROUND((BH$4-OFFSET(BH$4,,-$S89):BG$4)/(365/12),0)*($Q89/12)),0)+IF(BH$4=$U89,SUMPRODUCT(OFFSET(BH$84,,-(DATEDIF($U84,BH$4,"M")/$S89-TRUNC(DATEDIF($U84,BH$4,"M")/$S89))*$S89):BG$84*ROUND((BH$4-OFFSET(BH$4,,-(DATEDIF($U84,BH$4,"M")/$S89-TRUNC(DATEDIF($U84,BH$4,"M")/$S89))*$S89):BG$4)/(365/12),0)*($Q89/12)),0)</f>
        <v>0</v>
      </c>
      <c r="BI89" s="68">
        <f ca="1">IF(AND(BI$4&gt;=$U84,BI$4&lt;=$U89,IFERROR(DATEDIF($U84,BI$4,"M")/$S89=TRUNC(DATEDIF($U84,BI$4,"M")/$S89),FALSE)),SUMPRODUCT(OFFSET(BI$84,,-$S89):BH$84*ROUND((BI$4-OFFSET(BI$4,,-$S89):BH$4)/(365/12),0)*($Q89/12)),0)+IF(BI$4=$U89,SUMPRODUCT(OFFSET(BI$84,,-(DATEDIF($U84,BI$4,"M")/$S89-TRUNC(DATEDIF($U84,BI$4,"M")/$S89))*$S89):BH$84*ROUND((BI$4-OFFSET(BI$4,,-(DATEDIF($U84,BI$4,"M")/$S89-TRUNC(DATEDIF($U84,BI$4,"M")/$S89))*$S89):BH$4)/(365/12),0)*($Q89/12)),0)</f>
        <v>0</v>
      </c>
      <c r="BJ89" s="68">
        <f ca="1">IF(AND(BJ$4&gt;=$U84,BJ$4&lt;=$U89,IFERROR(DATEDIF($U84,BJ$4,"M")/$S89=TRUNC(DATEDIF($U84,BJ$4,"M")/$S89),FALSE)),SUMPRODUCT(OFFSET(BJ$84,,-$S89):BI$84*ROUND((BJ$4-OFFSET(BJ$4,,-$S89):BI$4)/(365/12),0)*($Q89/12)),0)+IF(BJ$4=$U89,SUMPRODUCT(OFFSET(BJ$84,,-(DATEDIF($U84,BJ$4,"M")/$S89-TRUNC(DATEDIF($U84,BJ$4,"M")/$S89))*$S89):BI$84*ROUND((BJ$4-OFFSET(BJ$4,,-(DATEDIF($U84,BJ$4,"M")/$S89-TRUNC(DATEDIF($U84,BJ$4,"M")/$S89))*$S89):BI$4)/(365/12),0)*($Q89/12)),0)</f>
        <v>0</v>
      </c>
      <c r="BK89" s="68">
        <f ca="1">IF(AND(BK$4&gt;=$U84,BK$4&lt;=$U89,IFERROR(DATEDIF($U84,BK$4,"M")/$S89=TRUNC(DATEDIF($U84,BK$4,"M")/$S89),FALSE)),SUMPRODUCT(OFFSET(BK$84,,-$S89):BJ$84*ROUND((BK$4-OFFSET(BK$4,,-$S89):BJ$4)/(365/12),0)*($Q89/12)),0)+IF(BK$4=$U89,SUMPRODUCT(OFFSET(BK$84,,-(DATEDIF($U84,BK$4,"M")/$S89-TRUNC(DATEDIF($U84,BK$4,"M")/$S89))*$S89):BJ$84*ROUND((BK$4-OFFSET(BK$4,,-(DATEDIF($U84,BK$4,"M")/$S89-TRUNC(DATEDIF($U84,BK$4,"M")/$S89))*$S89):BJ$4)/(365/12),0)*($Q89/12)),0)</f>
        <v>0</v>
      </c>
      <c r="BL89" s="68">
        <f ca="1">IF(AND(BL$4&gt;=$U84,BL$4&lt;=$U89,IFERROR(DATEDIF($U84,BL$4,"M")/$S89=TRUNC(DATEDIF($U84,BL$4,"M")/$S89),FALSE)),SUMPRODUCT(OFFSET(BL$84,,-$S89):BK$84*ROUND((BL$4-OFFSET(BL$4,,-$S89):BK$4)/(365/12),0)*($Q89/12)),0)+IF(BL$4=$U89,SUMPRODUCT(OFFSET(BL$84,,-(DATEDIF($U84,BL$4,"M")/$S89-TRUNC(DATEDIF($U84,BL$4,"M")/$S89))*$S89):BK$84*ROUND((BL$4-OFFSET(BL$4,,-(DATEDIF($U84,BL$4,"M")/$S89-TRUNC(DATEDIF($U84,BL$4,"M")/$S89))*$S89):BK$4)/(365/12),0)*($Q89/12)),0)</f>
        <v>0</v>
      </c>
      <c r="BM89" s="68">
        <f ca="1">IF(AND(BM$4&gt;=$U84,BM$4&lt;=$U89,IFERROR(DATEDIF($U84,BM$4,"M")/$S89=TRUNC(DATEDIF($U84,BM$4,"M")/$S89),FALSE)),SUMPRODUCT(OFFSET(BM$84,,-$S89):BL$84*ROUND((BM$4-OFFSET(BM$4,,-$S89):BL$4)/(365/12),0)*($Q89/12)),0)+IF(BM$4=$U89,SUMPRODUCT(OFFSET(BM$84,,-(DATEDIF($U84,BM$4,"M")/$S89-TRUNC(DATEDIF($U84,BM$4,"M")/$S89))*$S89):BL$84*ROUND((BM$4-OFFSET(BM$4,,-(DATEDIF($U84,BM$4,"M")/$S89-TRUNC(DATEDIF($U84,BM$4,"M")/$S89))*$S89):BL$4)/(365/12),0)*($Q89/12)),0)</f>
        <v>0</v>
      </c>
      <c r="BN89" s="68">
        <f ca="1">IF(AND(BN$4&gt;=$U84,BN$4&lt;=$U89,IFERROR(DATEDIF($U84,BN$4,"M")/$S89=TRUNC(DATEDIF($U84,BN$4,"M")/$S89),FALSE)),SUMPRODUCT(OFFSET(BN$84,,-$S89):BM$84*ROUND((BN$4-OFFSET(BN$4,,-$S89):BM$4)/(365/12),0)*($Q89/12)),0)+IF(BN$4=$U89,SUMPRODUCT(OFFSET(BN$84,,-(DATEDIF($U84,BN$4,"M")/$S89-TRUNC(DATEDIF($U84,BN$4,"M")/$S89))*$S89):BM$84*ROUND((BN$4-OFFSET(BN$4,,-(DATEDIF($U84,BN$4,"M")/$S89-TRUNC(DATEDIF($U84,BN$4,"M")/$S89))*$S89):BM$4)/(365/12),0)*($Q89/12)),0)</f>
        <v>0</v>
      </c>
      <c r="BO89" s="68">
        <f ca="1">IF(AND(BO$4&gt;=$U84,BO$4&lt;=$U89,IFERROR(DATEDIF($U84,BO$4,"M")/$S89=TRUNC(DATEDIF($U84,BO$4,"M")/$S89),FALSE)),SUMPRODUCT(OFFSET(BO$84,,-$S89):BN$84*ROUND((BO$4-OFFSET(BO$4,,-$S89):BN$4)/(365/12),0)*($Q89/12)),0)+IF(BO$4=$U89,SUMPRODUCT(OFFSET(BO$84,,-(DATEDIF($U84,BO$4,"M")/$S89-TRUNC(DATEDIF($U84,BO$4,"M")/$S89))*$S89):BN$84*ROUND((BO$4-OFFSET(BO$4,,-(DATEDIF($U84,BO$4,"M")/$S89-TRUNC(DATEDIF($U84,BO$4,"M")/$S89))*$S89):BN$4)/(365/12),0)*($Q89/12)),0)</f>
        <v>0</v>
      </c>
      <c r="BP89" s="68">
        <f ca="1">IF(AND(BP$4&gt;=$U84,BP$4&lt;=$U89,IFERROR(DATEDIF($U84,BP$4,"M")/$S89=TRUNC(DATEDIF($U84,BP$4,"M")/$S89),FALSE)),SUMPRODUCT(OFFSET(BP$84,,-$S89):BO$84*ROUND((BP$4-OFFSET(BP$4,,-$S89):BO$4)/(365/12),0)*($Q89/12)),0)+IF(BP$4=$U89,SUMPRODUCT(OFFSET(BP$84,,-(DATEDIF($U84,BP$4,"M")/$S89-TRUNC(DATEDIF($U84,BP$4,"M")/$S89))*$S89):BO$84*ROUND((BP$4-OFFSET(BP$4,,-(DATEDIF($U84,BP$4,"M")/$S89-TRUNC(DATEDIF($U84,BP$4,"M")/$S89))*$S89):BO$4)/(365/12),0)*($Q89/12)),0)</f>
        <v>0</v>
      </c>
      <c r="BQ89" s="68">
        <f ca="1">IF(AND(BQ$4&gt;=$U84,BQ$4&lt;=$U89,IFERROR(DATEDIF($U84,BQ$4,"M")/$S89=TRUNC(DATEDIF($U84,BQ$4,"M")/$S89),FALSE)),SUMPRODUCT(OFFSET(BQ$84,,-$S89):BP$84*ROUND((BQ$4-OFFSET(BQ$4,,-$S89):BP$4)/(365/12),0)*($Q89/12)),0)+IF(BQ$4=$U89,SUMPRODUCT(OFFSET(BQ$84,,-(DATEDIF($U84,BQ$4,"M")/$S89-TRUNC(DATEDIF($U84,BQ$4,"M")/$S89))*$S89):BP$84*ROUND((BQ$4-OFFSET(BQ$4,,-(DATEDIF($U84,BQ$4,"M")/$S89-TRUNC(DATEDIF($U84,BQ$4,"M")/$S89))*$S89):BP$4)/(365/12),0)*($Q89/12)),0)</f>
        <v>0</v>
      </c>
      <c r="BR89" s="68">
        <f ca="1">IF(AND(BR$4&gt;=$U84,BR$4&lt;=$U89,IFERROR(DATEDIF($U84,BR$4,"M")/$S89=TRUNC(DATEDIF($U84,BR$4,"M")/$S89),FALSE)),SUMPRODUCT(OFFSET(BR$84,,-$S89):BQ$84*ROUND((BR$4-OFFSET(BR$4,,-$S89):BQ$4)/(365/12),0)*($Q89/12)),0)+IF(BR$4=$U89,SUMPRODUCT(OFFSET(BR$84,,-(DATEDIF($U84,BR$4,"M")/$S89-TRUNC(DATEDIF($U84,BR$4,"M")/$S89))*$S89):BQ$84*ROUND((BR$4-OFFSET(BR$4,,-(DATEDIF($U84,BR$4,"M")/$S89-TRUNC(DATEDIF($U84,BR$4,"M")/$S89))*$S89):BQ$4)/(365/12),0)*($Q89/12)),0)</f>
        <v>0</v>
      </c>
      <c r="BS89" s="68">
        <f ca="1">IF(AND(BS$4&gt;=$U84,BS$4&lt;=$U89,IFERROR(DATEDIF($U84,BS$4,"M")/$S89=TRUNC(DATEDIF($U84,BS$4,"M")/$S89),FALSE)),SUMPRODUCT(OFFSET(BS$84,,-$S89):BR$84*ROUND((BS$4-OFFSET(BS$4,,-$S89):BR$4)/(365/12),0)*($Q89/12)),0)+IF(BS$4=$U89,SUMPRODUCT(OFFSET(BS$84,,-(DATEDIF($U84,BS$4,"M")/$S89-TRUNC(DATEDIF($U84,BS$4,"M")/$S89))*$S89):BR$84*ROUND((BS$4-OFFSET(BS$4,,-(DATEDIF($U84,BS$4,"M")/$S89-TRUNC(DATEDIF($U84,BS$4,"M")/$S89))*$S89):BR$4)/(365/12),0)*($Q89/12)),0)</f>
        <v>0</v>
      </c>
    </row>
    <row r="90" spans="1:71" x14ac:dyDescent="0.2">
      <c r="A90" s="36" t="s">
        <v>41</v>
      </c>
      <c r="B90" s="37" t="s">
        <v>147</v>
      </c>
      <c r="G90" s="37" t="s">
        <v>148</v>
      </c>
      <c r="V90" s="81">
        <f>SUM(X90:BS90)</f>
        <v>0</v>
      </c>
      <c r="X90" s="68">
        <v>0</v>
      </c>
      <c r="Y90" s="68">
        <v>0</v>
      </c>
      <c r="Z90" s="68">
        <v>0</v>
      </c>
      <c r="AA90" s="68">
        <v>0</v>
      </c>
      <c r="AB90" s="68">
        <v>0</v>
      </c>
      <c r="AC90" s="68">
        <v>0</v>
      </c>
      <c r="AD90" s="68">
        <v>0</v>
      </c>
      <c r="AE90" s="68">
        <v>0</v>
      </c>
      <c r="AF90" s="68">
        <v>0</v>
      </c>
      <c r="AG90" s="68">
        <v>0</v>
      </c>
      <c r="AH90" s="68">
        <v>0</v>
      </c>
      <c r="AI90" s="68">
        <v>0</v>
      </c>
      <c r="AJ90" s="68">
        <v>0</v>
      </c>
      <c r="AK90" s="68">
        <v>0</v>
      </c>
      <c r="AL90" s="68">
        <v>0</v>
      </c>
      <c r="AM90" s="68">
        <v>0</v>
      </c>
      <c r="AN90" s="68">
        <v>0</v>
      </c>
      <c r="AO90" s="68">
        <v>0</v>
      </c>
      <c r="AP90" s="68">
        <v>0</v>
      </c>
      <c r="AQ90" s="68">
        <v>0</v>
      </c>
      <c r="AR90" s="68">
        <v>0</v>
      </c>
      <c r="AS90" s="68">
        <v>0</v>
      </c>
      <c r="AT90" s="68">
        <v>0</v>
      </c>
      <c r="AU90" s="68">
        <v>0</v>
      </c>
      <c r="AV90" s="68">
        <v>0</v>
      </c>
      <c r="AW90" s="68">
        <v>0</v>
      </c>
      <c r="AX90" s="68">
        <v>0</v>
      </c>
      <c r="AY90" s="68">
        <v>0</v>
      </c>
      <c r="AZ90" s="68">
        <v>0</v>
      </c>
      <c r="BA90" s="68">
        <v>0</v>
      </c>
      <c r="BB90" s="68">
        <v>0</v>
      </c>
      <c r="BC90" s="68">
        <v>0</v>
      </c>
      <c r="BD90" s="68">
        <v>0</v>
      </c>
      <c r="BE90" s="68">
        <v>0</v>
      </c>
      <c r="BF90" s="68">
        <v>0</v>
      </c>
      <c r="BG90" s="68">
        <v>0</v>
      </c>
      <c r="BH90" s="68">
        <v>0</v>
      </c>
      <c r="BI90" s="68">
        <v>0</v>
      </c>
      <c r="BJ90" s="68">
        <v>0</v>
      </c>
      <c r="BK90" s="68">
        <v>0</v>
      </c>
      <c r="BL90" s="68">
        <v>0</v>
      </c>
      <c r="BM90" s="68">
        <v>0</v>
      </c>
      <c r="BN90" s="68">
        <v>0</v>
      </c>
      <c r="BO90" s="68">
        <v>0</v>
      </c>
      <c r="BP90" s="68">
        <v>0</v>
      </c>
      <c r="BQ90" s="68">
        <v>0</v>
      </c>
      <c r="BR90" s="68">
        <v>0</v>
      </c>
      <c r="BS90" s="68">
        <v>0</v>
      </c>
    </row>
    <row r="91" spans="1:71" x14ac:dyDescent="0.2">
      <c r="A91" s="36" t="s">
        <v>41</v>
      </c>
      <c r="B91" s="37" t="s">
        <v>149</v>
      </c>
      <c r="G91" s="37" t="str">
        <f>$G$16&amp;" Closing Costs"</f>
        <v>Direct Manufacturing Closing Costs</v>
      </c>
      <c r="R91" s="77" t="s">
        <v>150</v>
      </c>
      <c r="S91" s="115">
        <v>1.4999999999999999E-2</v>
      </c>
      <c r="T91" s="77" t="s">
        <v>151</v>
      </c>
      <c r="U91" s="53">
        <f>U84</f>
        <v>44317</v>
      </c>
      <c r="V91" s="81">
        <f ca="1">SUM(X91:BS91)</f>
        <v>37500</v>
      </c>
      <c r="X91" s="68">
        <f t="shared" ref="X91:BS91" si="18">IF(X$4=$U91,$S91*$V84,0)</f>
        <v>0</v>
      </c>
      <c r="Y91" s="68">
        <f t="shared" si="18"/>
        <v>0</v>
      </c>
      <c r="Z91" s="68">
        <f t="shared" si="18"/>
        <v>0</v>
      </c>
      <c r="AA91" s="68">
        <f t="shared" si="18"/>
        <v>0</v>
      </c>
      <c r="AB91" s="68">
        <f t="shared" ca="1" si="18"/>
        <v>37500</v>
      </c>
      <c r="AC91" s="68">
        <f t="shared" si="18"/>
        <v>0</v>
      </c>
      <c r="AD91" s="68">
        <f t="shared" si="18"/>
        <v>0</v>
      </c>
      <c r="AE91" s="68">
        <f t="shared" si="18"/>
        <v>0</v>
      </c>
      <c r="AF91" s="68">
        <f t="shared" si="18"/>
        <v>0</v>
      </c>
      <c r="AG91" s="68">
        <f t="shared" si="18"/>
        <v>0</v>
      </c>
      <c r="AH91" s="68">
        <f t="shared" si="18"/>
        <v>0</v>
      </c>
      <c r="AI91" s="68">
        <f t="shared" si="18"/>
        <v>0</v>
      </c>
      <c r="AJ91" s="68">
        <f t="shared" si="18"/>
        <v>0</v>
      </c>
      <c r="AK91" s="68">
        <f t="shared" si="18"/>
        <v>0</v>
      </c>
      <c r="AL91" s="68">
        <f t="shared" si="18"/>
        <v>0</v>
      </c>
      <c r="AM91" s="68">
        <f t="shared" si="18"/>
        <v>0</v>
      </c>
      <c r="AN91" s="68">
        <f t="shared" si="18"/>
        <v>0</v>
      </c>
      <c r="AO91" s="68">
        <f t="shared" si="18"/>
        <v>0</v>
      </c>
      <c r="AP91" s="68">
        <f t="shared" si="18"/>
        <v>0</v>
      </c>
      <c r="AQ91" s="68">
        <f t="shared" si="18"/>
        <v>0</v>
      </c>
      <c r="AR91" s="68">
        <f t="shared" si="18"/>
        <v>0</v>
      </c>
      <c r="AS91" s="68">
        <f t="shared" si="18"/>
        <v>0</v>
      </c>
      <c r="AT91" s="68">
        <f t="shared" si="18"/>
        <v>0</v>
      </c>
      <c r="AU91" s="68">
        <f t="shared" si="18"/>
        <v>0</v>
      </c>
      <c r="AV91" s="68">
        <f t="shared" si="18"/>
        <v>0</v>
      </c>
      <c r="AW91" s="68">
        <f t="shared" si="18"/>
        <v>0</v>
      </c>
      <c r="AX91" s="68">
        <f t="shared" si="18"/>
        <v>0</v>
      </c>
      <c r="AY91" s="68">
        <f t="shared" si="18"/>
        <v>0</v>
      </c>
      <c r="AZ91" s="68">
        <f t="shared" si="18"/>
        <v>0</v>
      </c>
      <c r="BA91" s="68">
        <f t="shared" si="18"/>
        <v>0</v>
      </c>
      <c r="BB91" s="68">
        <f t="shared" si="18"/>
        <v>0</v>
      </c>
      <c r="BC91" s="68">
        <f t="shared" si="18"/>
        <v>0</v>
      </c>
      <c r="BD91" s="68">
        <f t="shared" si="18"/>
        <v>0</v>
      </c>
      <c r="BE91" s="68">
        <f t="shared" si="18"/>
        <v>0</v>
      </c>
      <c r="BF91" s="68">
        <f t="shared" si="18"/>
        <v>0</v>
      </c>
      <c r="BG91" s="68">
        <f t="shared" si="18"/>
        <v>0</v>
      </c>
      <c r="BH91" s="68">
        <f t="shared" si="18"/>
        <v>0</v>
      </c>
      <c r="BI91" s="68">
        <f t="shared" si="18"/>
        <v>0</v>
      </c>
      <c r="BJ91" s="68">
        <f t="shared" si="18"/>
        <v>0</v>
      </c>
      <c r="BK91" s="68">
        <f t="shared" si="18"/>
        <v>0</v>
      </c>
      <c r="BL91" s="68">
        <f t="shared" si="18"/>
        <v>0</v>
      </c>
      <c r="BM91" s="68">
        <f t="shared" si="18"/>
        <v>0</v>
      </c>
      <c r="BN91" s="68">
        <f t="shared" si="18"/>
        <v>0</v>
      </c>
      <c r="BO91" s="68">
        <f t="shared" si="18"/>
        <v>0</v>
      </c>
      <c r="BP91" s="68">
        <f t="shared" si="18"/>
        <v>0</v>
      </c>
      <c r="BQ91" s="68">
        <f t="shared" si="18"/>
        <v>0</v>
      </c>
      <c r="BR91" s="68">
        <f t="shared" si="18"/>
        <v>0</v>
      </c>
      <c r="BS91" s="68">
        <f t="shared" si="18"/>
        <v>0</v>
      </c>
    </row>
    <row r="92" spans="1:71" x14ac:dyDescent="0.2">
      <c r="A92" s="36" t="s">
        <v>41</v>
      </c>
      <c r="B92" s="37" t="s">
        <v>152</v>
      </c>
      <c r="G92" s="37" t="s">
        <v>153</v>
      </c>
      <c r="V92" s="81">
        <f>SUM(X92:BS92)</f>
        <v>0</v>
      </c>
      <c r="X92" s="68">
        <v>0</v>
      </c>
      <c r="Y92" s="68">
        <v>0</v>
      </c>
      <c r="Z92" s="68">
        <v>0</v>
      </c>
      <c r="AA92" s="68">
        <v>0</v>
      </c>
      <c r="AB92" s="68">
        <v>0</v>
      </c>
      <c r="AC92" s="68">
        <v>0</v>
      </c>
      <c r="AD92" s="68">
        <v>0</v>
      </c>
      <c r="AE92" s="68">
        <v>0</v>
      </c>
      <c r="AF92" s="68">
        <v>0</v>
      </c>
      <c r="AG92" s="68">
        <v>0</v>
      </c>
      <c r="AH92" s="68">
        <v>0</v>
      </c>
      <c r="AI92" s="68">
        <v>0</v>
      </c>
      <c r="AJ92" s="68">
        <v>0</v>
      </c>
      <c r="AK92" s="68">
        <v>0</v>
      </c>
      <c r="AL92" s="68">
        <v>0</v>
      </c>
      <c r="AM92" s="68">
        <v>0</v>
      </c>
      <c r="AN92" s="68">
        <v>0</v>
      </c>
      <c r="AO92" s="68">
        <v>0</v>
      </c>
      <c r="AP92" s="68">
        <v>0</v>
      </c>
      <c r="AQ92" s="68">
        <v>0</v>
      </c>
      <c r="AR92" s="68">
        <v>0</v>
      </c>
      <c r="AS92" s="68">
        <v>0</v>
      </c>
      <c r="AT92" s="68">
        <v>0</v>
      </c>
      <c r="AU92" s="68">
        <v>0</v>
      </c>
      <c r="AV92" s="68">
        <v>0</v>
      </c>
      <c r="AW92" s="68">
        <v>0</v>
      </c>
      <c r="AX92" s="68">
        <v>0</v>
      </c>
      <c r="AY92" s="68">
        <v>0</v>
      </c>
      <c r="AZ92" s="68">
        <v>0</v>
      </c>
      <c r="BA92" s="68">
        <v>0</v>
      </c>
      <c r="BB92" s="68">
        <v>0</v>
      </c>
      <c r="BC92" s="68">
        <v>0</v>
      </c>
      <c r="BD92" s="68">
        <v>0</v>
      </c>
      <c r="BE92" s="68">
        <v>0</v>
      </c>
      <c r="BF92" s="68">
        <v>0</v>
      </c>
      <c r="BG92" s="68">
        <v>0</v>
      </c>
      <c r="BH92" s="68">
        <v>0</v>
      </c>
      <c r="BI92" s="68">
        <v>0</v>
      </c>
      <c r="BJ92" s="68">
        <v>0</v>
      </c>
      <c r="BK92" s="68">
        <v>0</v>
      </c>
      <c r="BL92" s="68">
        <v>0</v>
      </c>
      <c r="BM92" s="68">
        <v>0</v>
      </c>
      <c r="BN92" s="68">
        <v>0</v>
      </c>
      <c r="BO92" s="68">
        <v>0</v>
      </c>
      <c r="BP92" s="68">
        <v>0</v>
      </c>
      <c r="BQ92" s="68">
        <v>0</v>
      </c>
      <c r="BR92" s="68">
        <v>0</v>
      </c>
      <c r="BS92" s="68">
        <v>0</v>
      </c>
    </row>
    <row r="93" spans="1:71" s="57" customFormat="1" x14ac:dyDescent="0.2">
      <c r="A93" s="56" t="s">
        <v>41</v>
      </c>
      <c r="B93" s="57" t="s">
        <v>154</v>
      </c>
      <c r="G93" s="57" t="str">
        <f>"Total "&amp;G88</f>
        <v>Total Financing Expenses</v>
      </c>
      <c r="I93" s="58"/>
      <c r="V93" s="112">
        <f ca="1">SUM(X93:BS93)</f>
        <v>558359.75541208393</v>
      </c>
      <c r="X93" s="113">
        <f ca="1">SUBTOTAL(9,OFFSET(X88,1,0):OFFSET(X93,-1,0))</f>
        <v>0</v>
      </c>
      <c r="Y93" s="113">
        <f ca="1">SUBTOTAL(9,OFFSET(Y88,1,0):OFFSET(Y93,-1,0))</f>
        <v>0</v>
      </c>
      <c r="Z93" s="113">
        <f ca="1">SUBTOTAL(9,OFFSET(Z88,1,0):OFFSET(Z93,-1,0))</f>
        <v>0</v>
      </c>
      <c r="AA93" s="113">
        <f ca="1">SUBTOTAL(9,OFFSET(AA88,1,0):OFFSET(AA93,-1,0))</f>
        <v>0</v>
      </c>
      <c r="AB93" s="113">
        <f ca="1">SUBTOTAL(9,OFFSET(AB88,1,0):OFFSET(AB93,-1,0))</f>
        <v>37500</v>
      </c>
      <c r="AC93" s="113">
        <f ca="1">SUBTOTAL(9,OFFSET(AC88,1,0):OFFSET(AC93,-1,0))</f>
        <v>0</v>
      </c>
      <c r="AD93" s="113">
        <f ca="1">SUBTOTAL(9,OFFSET(AD88,1,0):OFFSET(AD93,-1,0))</f>
        <v>0</v>
      </c>
      <c r="AE93" s="113">
        <f ca="1">SUBTOTAL(9,OFFSET(AE88,1,0):OFFSET(AE93,-1,0))</f>
        <v>7041.0229766555422</v>
      </c>
      <c r="AF93" s="113">
        <f ca="1">SUBTOTAL(9,OFFSET(AF88,1,0):OFFSET(AF93,-1,0))</f>
        <v>0</v>
      </c>
      <c r="AG93" s="113">
        <f ca="1">SUBTOTAL(9,OFFSET(AG88,1,0):OFFSET(AG93,-1,0))</f>
        <v>0</v>
      </c>
      <c r="AH93" s="113">
        <f ca="1">SUBTOTAL(9,OFFSET(AH88,1,0):OFFSET(AH93,-1,0))</f>
        <v>25556.986615518075</v>
      </c>
      <c r="AI93" s="113">
        <f ca="1">SUBTOTAL(9,OFFSET(AI88,1,0):OFFSET(AI93,-1,0))</f>
        <v>0</v>
      </c>
      <c r="AJ93" s="113">
        <f ca="1">SUBTOTAL(9,OFFSET(AJ88,1,0):OFFSET(AJ93,-1,0))</f>
        <v>0</v>
      </c>
      <c r="AK93" s="113">
        <f ca="1">SUBTOTAL(9,OFFSET(AK88,1,0):OFFSET(AK93,-1,0))</f>
        <v>50777.584675842474</v>
      </c>
      <c r="AL93" s="113">
        <f ca="1">SUBTOTAL(9,OFFSET(AL88,1,0):OFFSET(AL93,-1,0))</f>
        <v>0</v>
      </c>
      <c r="AM93" s="113">
        <f ca="1">SUBTOTAL(9,OFFSET(AM88,1,0):OFFSET(AM93,-1,0))</f>
        <v>0</v>
      </c>
      <c r="AN93" s="113">
        <f ca="1">SUBTOTAL(9,OFFSET(AN88,1,0):OFFSET(AN93,-1,0))</f>
        <v>77757.076432378148</v>
      </c>
      <c r="AO93" s="113">
        <f ca="1">SUBTOTAL(9,OFFSET(AO88,1,0):OFFSET(AO93,-1,0))</f>
        <v>0</v>
      </c>
      <c r="AP93" s="113">
        <f ca="1">SUBTOTAL(9,OFFSET(AP88,1,0):OFFSET(AP93,-1,0))</f>
        <v>0</v>
      </c>
      <c r="AQ93" s="113">
        <f ca="1">SUBTOTAL(9,OFFSET(AQ88,1,0):OFFSET(AQ93,-1,0))</f>
        <v>100420.49618508419</v>
      </c>
      <c r="AR93" s="113">
        <f ca="1">SUBTOTAL(9,OFFSET(AR88,1,0):OFFSET(AR93,-1,0))</f>
        <v>0</v>
      </c>
      <c r="AS93" s="113">
        <f ca="1">SUBTOTAL(9,OFFSET(AS88,1,0):OFFSET(AS93,-1,0))</f>
        <v>0</v>
      </c>
      <c r="AT93" s="113">
        <f ca="1">SUBTOTAL(9,OFFSET(AT88,1,0):OFFSET(AT93,-1,0))</f>
        <v>115367.57092913783</v>
      </c>
      <c r="AU93" s="113">
        <f ca="1">SUBTOTAL(9,OFFSET(AU88,1,0):OFFSET(AU93,-1,0))</f>
        <v>0</v>
      </c>
      <c r="AV93" s="113">
        <f ca="1">SUBTOTAL(9,OFFSET(AV88,1,0):OFFSET(AV93,-1,0))</f>
        <v>0</v>
      </c>
      <c r="AW93" s="113">
        <f ca="1">SUBTOTAL(9,OFFSET(AW88,1,0):OFFSET(AW93,-1,0))</f>
        <v>123105.6842641343</v>
      </c>
      <c r="AX93" s="113">
        <f ca="1">SUBTOTAL(9,OFFSET(AX88,1,0):OFFSET(AX93,-1,0))</f>
        <v>20833.333333333332</v>
      </c>
      <c r="AY93" s="113">
        <f ca="1">SUBTOTAL(9,OFFSET(AY88,1,0):OFFSET(AY93,-1,0))</f>
        <v>0</v>
      </c>
      <c r="AZ93" s="113">
        <f ca="1">SUBTOTAL(9,OFFSET(AZ88,1,0):OFFSET(AZ93,-1,0))</f>
        <v>0</v>
      </c>
      <c r="BA93" s="113">
        <f ca="1">SUBTOTAL(9,OFFSET(BA88,1,0):OFFSET(BA93,-1,0))</f>
        <v>0</v>
      </c>
      <c r="BB93" s="113">
        <f ca="1">SUBTOTAL(9,OFFSET(BB88,1,0):OFFSET(BB93,-1,0))</f>
        <v>0</v>
      </c>
      <c r="BC93" s="113">
        <f ca="1">SUBTOTAL(9,OFFSET(BC88,1,0):OFFSET(BC93,-1,0))</f>
        <v>0</v>
      </c>
      <c r="BD93" s="113">
        <f ca="1">SUBTOTAL(9,OFFSET(BD88,1,0):OFFSET(BD93,-1,0))</f>
        <v>0</v>
      </c>
      <c r="BE93" s="113">
        <f ca="1">SUBTOTAL(9,OFFSET(BE88,1,0):OFFSET(BE93,-1,0))</f>
        <v>0</v>
      </c>
      <c r="BF93" s="113">
        <f ca="1">SUBTOTAL(9,OFFSET(BF88,1,0):OFFSET(BF93,-1,0))</f>
        <v>0</v>
      </c>
      <c r="BG93" s="113">
        <f ca="1">SUBTOTAL(9,OFFSET(BG88,1,0):OFFSET(BG93,-1,0))</f>
        <v>0</v>
      </c>
      <c r="BH93" s="113">
        <f ca="1">SUBTOTAL(9,OFFSET(BH88,1,0):OFFSET(BH93,-1,0))</f>
        <v>0</v>
      </c>
      <c r="BI93" s="113">
        <f ca="1">SUBTOTAL(9,OFFSET(BI88,1,0):OFFSET(BI93,-1,0))</f>
        <v>0</v>
      </c>
      <c r="BJ93" s="113">
        <f ca="1">SUBTOTAL(9,OFFSET(BJ88,1,0):OFFSET(BJ93,-1,0))</f>
        <v>0</v>
      </c>
      <c r="BK93" s="113">
        <f ca="1">SUBTOTAL(9,OFFSET(BK88,1,0):OFFSET(BK93,-1,0))</f>
        <v>0</v>
      </c>
      <c r="BL93" s="113">
        <f ca="1">SUBTOTAL(9,OFFSET(BL88,1,0):OFFSET(BL93,-1,0))</f>
        <v>0</v>
      </c>
      <c r="BM93" s="113">
        <f ca="1">SUBTOTAL(9,OFFSET(BM88,1,0):OFFSET(BM93,-1,0))</f>
        <v>0</v>
      </c>
      <c r="BN93" s="113">
        <f ca="1">SUBTOTAL(9,OFFSET(BN88,1,0):OFFSET(BN93,-1,0))</f>
        <v>0</v>
      </c>
      <c r="BO93" s="113">
        <f ca="1">SUBTOTAL(9,OFFSET(BO88,1,0):OFFSET(BO93,-1,0))</f>
        <v>0</v>
      </c>
      <c r="BP93" s="113">
        <f ca="1">SUBTOTAL(9,OFFSET(BP88,1,0):OFFSET(BP93,-1,0))</f>
        <v>0</v>
      </c>
      <c r="BQ93" s="113">
        <f ca="1">SUBTOTAL(9,OFFSET(BQ88,1,0):OFFSET(BQ93,-1,0))</f>
        <v>0</v>
      </c>
      <c r="BR93" s="113">
        <f ca="1">SUBTOTAL(9,OFFSET(BR88,1,0):OFFSET(BR93,-1,0))</f>
        <v>0</v>
      </c>
      <c r="BS93" s="113">
        <f ca="1">SUBTOTAL(9,OFFSET(BS88,1,0):OFFSET(BS93,-1,0))</f>
        <v>0</v>
      </c>
    </row>
    <row r="94" spans="1:71" x14ac:dyDescent="0.2">
      <c r="V94" s="69"/>
    </row>
    <row r="95" spans="1:71" s="63" customFormat="1" x14ac:dyDescent="0.2">
      <c r="A95" s="62" t="s">
        <v>37</v>
      </c>
      <c r="B95" s="63" t="s">
        <v>155</v>
      </c>
      <c r="G95" s="63" t="s">
        <v>156</v>
      </c>
      <c r="I95" s="65"/>
      <c r="R95" s="95" t="s">
        <v>91</v>
      </c>
      <c r="S95" s="96">
        <f ca="1">-V95/MIN(X96:BS96)</f>
        <v>0.49870433247526469</v>
      </c>
      <c r="T95" s="95" t="s">
        <v>92</v>
      </c>
      <c r="U95" s="96">
        <f t="array" aca="1" ref="U95" ca="1">((1+IRR(OFFSET($W95,,MATCH(TRUE,$X95:$BS95&lt;&gt;0,0)):OFFSET($W95,,MATCH($V96,$X96:$BS96,0)),10%))^12)-1</f>
        <v>0.38840609464578568</v>
      </c>
      <c r="V95" s="66">
        <f ca="1">SUM(X95:BS95)</f>
        <v>2741640.2445879141</v>
      </c>
      <c r="X95" s="67">
        <f ca="1">X70+X86-W86-X93</f>
        <v>0</v>
      </c>
      <c r="Y95" s="67">
        <f ca="1">Y70+Y86-X86-Y93</f>
        <v>-176633.33333333331</v>
      </c>
      <c r="Z95" s="67">
        <f ca="1">Z70+Z86-Y86-Z93</f>
        <v>-326633.33333333337</v>
      </c>
      <c r="AA95" s="67">
        <f ca="1">AA70+AA86-Z86-AA93</f>
        <v>-196633.33333333331</v>
      </c>
      <c r="AB95" s="67">
        <f t="shared" ref="AB95:BS95" ca="1" si="19">AB70+AB86-AA86-AB93</f>
        <v>-366065.25133114273</v>
      </c>
      <c r="AC95" s="67">
        <f t="shared" ca="1" si="19"/>
        <v>-358277.64661713678</v>
      </c>
      <c r="AD95" s="67">
        <f t="shared" ca="1" si="19"/>
        <v>-389740.95040042303</v>
      </c>
      <c r="AE95" s="67">
        <f t="shared" ca="1" si="19"/>
        <v>-345133.9573552435</v>
      </c>
      <c r="AF95" s="67">
        <f t="shared" ca="1" si="19"/>
        <v>-368125.04623407271</v>
      </c>
      <c r="AG95" s="67">
        <f t="shared" ca="1" si="19"/>
        <v>-394441.56167063164</v>
      </c>
      <c r="AH95" s="67">
        <f t="shared" ca="1" si="19"/>
        <v>-440576.71164351044</v>
      </c>
      <c r="AI95" s="67">
        <f t="shared" ca="1" si="19"/>
        <v>-428142.11145708198</v>
      </c>
      <c r="AJ95" s="67">
        <f t="shared" ca="1" si="19"/>
        <v>-432652.36472645297</v>
      </c>
      <c r="AK95" s="67">
        <f t="shared" ca="1" si="19"/>
        <v>-478919.69613292447</v>
      </c>
      <c r="AL95" s="67">
        <f t="shared" ca="1" si="19"/>
        <v>2559980.2749720076</v>
      </c>
      <c r="AM95" s="67">
        <f t="shared" ca="1" si="19"/>
        <v>-394441.56167063164</v>
      </c>
      <c r="AN95" s="67">
        <f t="shared" ca="1" si="19"/>
        <v>-445882.12266645103</v>
      </c>
      <c r="AO95" s="67">
        <f t="shared" ca="1" si="19"/>
        <v>-338092.93437858811</v>
      </c>
      <c r="AP95" s="67">
        <f t="shared" ca="1" si="19"/>
        <v>-306407.61706708977</v>
      </c>
      <c r="AQ95" s="67">
        <f t="shared" ca="1" si="19"/>
        <v>-375364.80946888763</v>
      </c>
      <c r="AR95" s="67">
        <f t="shared" ca="1" si="19"/>
        <v>-245231.91799780959</v>
      </c>
      <c r="AS95" s="67">
        <f t="shared" ca="1" si="19"/>
        <v>-218370.03943469562</v>
      </c>
      <c r="AT95" s="67">
        <f t="shared" ca="1" si="19"/>
        <v>-460383.2990223901</v>
      </c>
      <c r="AU95" s="67">
        <f t="shared" ca="1" si="19"/>
        <v>-175424.54270325508</v>
      </c>
      <c r="AV95" s="67">
        <f t="shared" ca="1" si="19"/>
        <v>-159526.87080820557</v>
      </c>
      <c r="AW95" s="67">
        <f t="shared" ca="1" si="19"/>
        <v>-236405.6842641343</v>
      </c>
      <c r="AX95" s="67">
        <f t="shared" ca="1" si="19"/>
        <v>9379166.666666666</v>
      </c>
      <c r="AY95" s="67">
        <f t="shared" ca="1" si="19"/>
        <v>-1139999.9999999998</v>
      </c>
      <c r="AZ95" s="67">
        <f t="shared" ca="1" si="19"/>
        <v>0</v>
      </c>
      <c r="BA95" s="67">
        <f t="shared" ca="1" si="19"/>
        <v>0</v>
      </c>
      <c r="BB95" s="67">
        <f t="shared" ca="1" si="19"/>
        <v>0</v>
      </c>
      <c r="BC95" s="67">
        <f t="shared" ca="1" si="19"/>
        <v>0</v>
      </c>
      <c r="BD95" s="67">
        <f t="shared" ca="1" si="19"/>
        <v>0</v>
      </c>
      <c r="BE95" s="67">
        <f t="shared" ca="1" si="19"/>
        <v>0</v>
      </c>
      <c r="BF95" s="67">
        <f t="shared" ca="1" si="19"/>
        <v>0</v>
      </c>
      <c r="BG95" s="67">
        <f t="shared" ca="1" si="19"/>
        <v>0</v>
      </c>
      <c r="BH95" s="67">
        <f t="shared" ca="1" si="19"/>
        <v>0</v>
      </c>
      <c r="BI95" s="67">
        <f t="shared" ca="1" si="19"/>
        <v>0</v>
      </c>
      <c r="BJ95" s="67">
        <f t="shared" ca="1" si="19"/>
        <v>0</v>
      </c>
      <c r="BK95" s="67">
        <f t="shared" ca="1" si="19"/>
        <v>0</v>
      </c>
      <c r="BL95" s="67">
        <f t="shared" ca="1" si="19"/>
        <v>0</v>
      </c>
      <c r="BM95" s="67">
        <f t="shared" ca="1" si="19"/>
        <v>0</v>
      </c>
      <c r="BN95" s="67">
        <f t="shared" ca="1" si="19"/>
        <v>0</v>
      </c>
      <c r="BO95" s="67">
        <f t="shared" ca="1" si="19"/>
        <v>0</v>
      </c>
      <c r="BP95" s="67">
        <f t="shared" ca="1" si="19"/>
        <v>0</v>
      </c>
      <c r="BQ95" s="67">
        <f t="shared" ca="1" si="19"/>
        <v>0</v>
      </c>
      <c r="BR95" s="67">
        <f t="shared" ca="1" si="19"/>
        <v>0</v>
      </c>
      <c r="BS95" s="67">
        <f t="shared" ca="1" si="19"/>
        <v>0</v>
      </c>
    </row>
    <row r="96" spans="1:71" s="89" customFormat="1" x14ac:dyDescent="0.2">
      <c r="A96" s="88" t="s">
        <v>41</v>
      </c>
      <c r="B96" s="89" t="s">
        <v>157</v>
      </c>
      <c r="G96" s="89" t="str">
        <f>"Cumulative "&amp;G95</f>
        <v>Cumulative Levered Cash Flow</v>
      </c>
      <c r="I96" s="90"/>
      <c r="R96" s="106"/>
      <c r="T96" s="92"/>
      <c r="U96" s="92"/>
      <c r="V96" s="91">
        <f ca="1">$BS96</f>
        <v>2741640.2445879141</v>
      </c>
      <c r="X96" s="92">
        <f t="shared" ref="X96:BS96" ca="1" si="20">W96+X95</f>
        <v>0</v>
      </c>
      <c r="Y96" s="92">
        <f t="shared" ca="1" si="20"/>
        <v>-176633.33333333331</v>
      </c>
      <c r="Z96" s="92">
        <f t="shared" ca="1" si="20"/>
        <v>-503266.66666666669</v>
      </c>
      <c r="AA96" s="92">
        <f t="shared" ca="1" si="20"/>
        <v>-699900</v>
      </c>
      <c r="AB96" s="92">
        <f t="shared" ca="1" si="20"/>
        <v>-1065965.2513311426</v>
      </c>
      <c r="AC96" s="92">
        <f t="shared" ca="1" si="20"/>
        <v>-1424242.8979482795</v>
      </c>
      <c r="AD96" s="92">
        <f t="shared" ca="1" si="20"/>
        <v>-1813983.8483487025</v>
      </c>
      <c r="AE96" s="92">
        <f t="shared" ca="1" si="20"/>
        <v>-2159117.8057039459</v>
      </c>
      <c r="AF96" s="92">
        <f t="shared" ca="1" si="20"/>
        <v>-2527242.8519380186</v>
      </c>
      <c r="AG96" s="92">
        <f t="shared" ca="1" si="20"/>
        <v>-2921684.4136086502</v>
      </c>
      <c r="AH96" s="92">
        <f t="shared" ca="1" si="20"/>
        <v>-3362261.1252521607</v>
      </c>
      <c r="AI96" s="92">
        <f t="shared" ca="1" si="20"/>
        <v>-3790403.2367092427</v>
      </c>
      <c r="AJ96" s="92">
        <f t="shared" ca="1" si="20"/>
        <v>-4223055.6014356958</v>
      </c>
      <c r="AK96" s="92">
        <f t="shared" ca="1" si="20"/>
        <v>-4701975.2975686202</v>
      </c>
      <c r="AL96" s="92">
        <f t="shared" ca="1" si="20"/>
        <v>-2141995.0225966126</v>
      </c>
      <c r="AM96" s="92">
        <f t="shared" ca="1" si="20"/>
        <v>-2536436.5842672442</v>
      </c>
      <c r="AN96" s="92">
        <f t="shared" ca="1" si="20"/>
        <v>-2982318.7069336954</v>
      </c>
      <c r="AO96" s="92">
        <f t="shared" ca="1" si="20"/>
        <v>-3320411.6413122835</v>
      </c>
      <c r="AP96" s="92">
        <f t="shared" ca="1" si="20"/>
        <v>-3626819.2583793732</v>
      </c>
      <c r="AQ96" s="92">
        <f t="shared" ca="1" si="20"/>
        <v>-4002184.067848261</v>
      </c>
      <c r="AR96" s="92">
        <f t="shared" ca="1" si="20"/>
        <v>-4247415.9858460706</v>
      </c>
      <c r="AS96" s="92">
        <f t="shared" ca="1" si="20"/>
        <v>-4465786.0252807662</v>
      </c>
      <c r="AT96" s="92">
        <f t="shared" ca="1" si="20"/>
        <v>-4926169.3243031567</v>
      </c>
      <c r="AU96" s="92">
        <f t="shared" ca="1" si="20"/>
        <v>-5101593.8670064118</v>
      </c>
      <c r="AV96" s="92">
        <f t="shared" ca="1" si="20"/>
        <v>-5261120.7378146173</v>
      </c>
      <c r="AW96" s="92">
        <f t="shared" ca="1" si="20"/>
        <v>-5497526.422078752</v>
      </c>
      <c r="AX96" s="92">
        <f t="shared" ca="1" si="20"/>
        <v>3881640.2445879141</v>
      </c>
      <c r="AY96" s="92">
        <f t="shared" ca="1" si="20"/>
        <v>2741640.2445879141</v>
      </c>
      <c r="AZ96" s="92">
        <f t="shared" ca="1" si="20"/>
        <v>2741640.2445879141</v>
      </c>
      <c r="BA96" s="92">
        <f t="shared" ca="1" si="20"/>
        <v>2741640.2445879141</v>
      </c>
      <c r="BB96" s="92">
        <f t="shared" ca="1" si="20"/>
        <v>2741640.2445879141</v>
      </c>
      <c r="BC96" s="92">
        <f t="shared" ca="1" si="20"/>
        <v>2741640.2445879141</v>
      </c>
      <c r="BD96" s="92">
        <f t="shared" ca="1" si="20"/>
        <v>2741640.2445879141</v>
      </c>
      <c r="BE96" s="92">
        <f t="shared" ca="1" si="20"/>
        <v>2741640.2445879141</v>
      </c>
      <c r="BF96" s="92">
        <f t="shared" ca="1" si="20"/>
        <v>2741640.2445879141</v>
      </c>
      <c r="BG96" s="92">
        <f t="shared" ca="1" si="20"/>
        <v>2741640.2445879141</v>
      </c>
      <c r="BH96" s="92">
        <f t="shared" ca="1" si="20"/>
        <v>2741640.2445879141</v>
      </c>
      <c r="BI96" s="92">
        <f t="shared" ca="1" si="20"/>
        <v>2741640.2445879141</v>
      </c>
      <c r="BJ96" s="92">
        <f t="shared" ca="1" si="20"/>
        <v>2741640.2445879141</v>
      </c>
      <c r="BK96" s="92">
        <f t="shared" ca="1" si="20"/>
        <v>2741640.2445879141</v>
      </c>
      <c r="BL96" s="92">
        <f t="shared" ca="1" si="20"/>
        <v>2741640.2445879141</v>
      </c>
      <c r="BM96" s="92">
        <f t="shared" ca="1" si="20"/>
        <v>2741640.2445879141</v>
      </c>
      <c r="BN96" s="92">
        <f t="shared" ca="1" si="20"/>
        <v>2741640.2445879141</v>
      </c>
      <c r="BO96" s="92">
        <f t="shared" ca="1" si="20"/>
        <v>2741640.2445879141</v>
      </c>
      <c r="BP96" s="92">
        <f t="shared" ca="1" si="20"/>
        <v>2741640.2445879141</v>
      </c>
      <c r="BQ96" s="92">
        <f t="shared" ca="1" si="20"/>
        <v>2741640.2445879141</v>
      </c>
      <c r="BR96" s="92">
        <f t="shared" ca="1" si="20"/>
        <v>2741640.2445879141</v>
      </c>
      <c r="BS96" s="92">
        <f t="shared" ca="1" si="20"/>
        <v>2741640.2445879141</v>
      </c>
    </row>
    <row r="97" spans="1:71" x14ac:dyDescent="0.2">
      <c r="V97" s="69"/>
      <c r="AW97" s="68"/>
    </row>
    <row r="98" spans="1:71" x14ac:dyDescent="0.2">
      <c r="A98" s="36" t="s">
        <v>39</v>
      </c>
      <c r="G98" s="38" t="s">
        <v>158</v>
      </c>
      <c r="R98" s="82"/>
      <c r="V98" s="69"/>
    </row>
    <row r="99" spans="1:71" x14ac:dyDescent="0.2">
      <c r="A99" s="36" t="s">
        <v>41</v>
      </c>
      <c r="B99" s="37" t="s">
        <v>159</v>
      </c>
      <c r="G99" s="37" t="s">
        <v>121</v>
      </c>
      <c r="Q99" s="77" t="s">
        <v>122</v>
      </c>
      <c r="R99" s="52">
        <v>250000</v>
      </c>
      <c r="S99" s="82"/>
      <c r="T99" s="77" t="s">
        <v>123</v>
      </c>
      <c r="U99" s="53">
        <f ca="1">EDATE(Unlevered_End_Date,0)</f>
        <v>45017</v>
      </c>
      <c r="V99" s="69"/>
      <c r="X99" s="68">
        <f ca="1">ROUND(W102+X95,4)</f>
        <v>0</v>
      </c>
      <c r="Y99" s="68">
        <f ca="1">ROUND(X102+Y95,4)</f>
        <v>1887350.5149999999</v>
      </c>
      <c r="Z99" s="68">
        <f ca="1">ROUND(Y102+Z95,4)</f>
        <v>1560717.1817000001</v>
      </c>
      <c r="AA99" s="68">
        <f t="shared" ref="AA99:BS99" ca="1" si="21">ROUND(Z102+AA95,4)</f>
        <v>1364083.8484</v>
      </c>
      <c r="AB99" s="68">
        <f t="shared" ca="1" si="21"/>
        <v>998018.59710000001</v>
      </c>
      <c r="AC99" s="68">
        <f t="shared" ca="1" si="21"/>
        <v>639740.95050000004</v>
      </c>
      <c r="AD99" s="68">
        <f t="shared" ca="1" si="21"/>
        <v>250000.0001</v>
      </c>
      <c r="AE99" s="68">
        <f t="shared" ca="1" si="21"/>
        <v>2313937.7957000001</v>
      </c>
      <c r="AF99" s="68">
        <f t="shared" ca="1" si="21"/>
        <v>1945812.7494999999</v>
      </c>
      <c r="AG99" s="68">
        <f t="shared" ca="1" si="21"/>
        <v>1551371.1878</v>
      </c>
      <c r="AH99" s="68">
        <f t="shared" ca="1" si="21"/>
        <v>1110794.4761999999</v>
      </c>
      <c r="AI99" s="68">
        <f t="shared" ca="1" si="21"/>
        <v>682652.36470000003</v>
      </c>
      <c r="AJ99" s="68">
        <f t="shared" ca="1" si="21"/>
        <v>250000</v>
      </c>
      <c r="AK99" s="68">
        <f t="shared" ca="1" si="21"/>
        <v>250000</v>
      </c>
      <c r="AL99" s="68">
        <f t="shared" ca="1" si="21"/>
        <v>2809980.2749999999</v>
      </c>
      <c r="AM99" s="68">
        <f t="shared" ca="1" si="21"/>
        <v>2415538.7132999999</v>
      </c>
      <c r="AN99" s="68">
        <f t="shared" ca="1" si="21"/>
        <v>1969656.5906</v>
      </c>
      <c r="AO99" s="68">
        <f t="shared" ca="1" si="21"/>
        <v>1631563.6562000001</v>
      </c>
      <c r="AP99" s="68">
        <f t="shared" ca="1" si="21"/>
        <v>1325156.0390999999</v>
      </c>
      <c r="AQ99" s="68">
        <f t="shared" ca="1" si="21"/>
        <v>1508936.67</v>
      </c>
      <c r="AR99" s="68">
        <f t="shared" ca="1" si="21"/>
        <v>1263704.7520000001</v>
      </c>
      <c r="AS99" s="68">
        <f t="shared" ca="1" si="21"/>
        <v>1045334.7126</v>
      </c>
      <c r="AT99" s="68">
        <f t="shared" ca="1" si="21"/>
        <v>584951.41359999997</v>
      </c>
      <c r="AU99" s="68">
        <f t="shared" ca="1" si="21"/>
        <v>409526.87089999998</v>
      </c>
      <c r="AV99" s="68">
        <f t="shared" ca="1" si="21"/>
        <v>250000.0001</v>
      </c>
      <c r="AW99" s="68">
        <f t="shared" ca="1" si="21"/>
        <v>250000</v>
      </c>
      <c r="AX99" s="68">
        <f t="shared" ca="1" si="21"/>
        <v>9629166.6666999999</v>
      </c>
      <c r="AY99" s="68">
        <f t="shared" ca="1" si="21"/>
        <v>250000</v>
      </c>
      <c r="AZ99" s="68">
        <f t="shared" ca="1" si="21"/>
        <v>0</v>
      </c>
      <c r="BA99" s="68">
        <f t="shared" ca="1" si="21"/>
        <v>0</v>
      </c>
      <c r="BB99" s="68">
        <f t="shared" ca="1" si="21"/>
        <v>0</v>
      </c>
      <c r="BC99" s="68">
        <f t="shared" ca="1" si="21"/>
        <v>0</v>
      </c>
      <c r="BD99" s="68">
        <f t="shared" ca="1" si="21"/>
        <v>0</v>
      </c>
      <c r="BE99" s="68">
        <f t="shared" ca="1" si="21"/>
        <v>0</v>
      </c>
      <c r="BF99" s="68">
        <f t="shared" ca="1" si="21"/>
        <v>0</v>
      </c>
      <c r="BG99" s="68">
        <f t="shared" ca="1" si="21"/>
        <v>0</v>
      </c>
      <c r="BH99" s="68">
        <f t="shared" ca="1" si="21"/>
        <v>0</v>
      </c>
      <c r="BI99" s="68">
        <f t="shared" ca="1" si="21"/>
        <v>0</v>
      </c>
      <c r="BJ99" s="68">
        <f t="shared" ca="1" si="21"/>
        <v>0</v>
      </c>
      <c r="BK99" s="68">
        <f t="shared" ca="1" si="21"/>
        <v>0</v>
      </c>
      <c r="BL99" s="68">
        <f t="shared" ca="1" si="21"/>
        <v>0</v>
      </c>
      <c r="BM99" s="68">
        <f t="shared" ca="1" si="21"/>
        <v>0</v>
      </c>
      <c r="BN99" s="68">
        <f t="shared" ca="1" si="21"/>
        <v>0</v>
      </c>
      <c r="BO99" s="68">
        <f t="shared" ca="1" si="21"/>
        <v>0</v>
      </c>
      <c r="BP99" s="68">
        <f t="shared" ca="1" si="21"/>
        <v>0</v>
      </c>
      <c r="BQ99" s="68">
        <f t="shared" ca="1" si="21"/>
        <v>0</v>
      </c>
      <c r="BR99" s="68">
        <f t="shared" ca="1" si="21"/>
        <v>0</v>
      </c>
      <c r="BS99" s="68">
        <f t="shared" ca="1" si="21"/>
        <v>0</v>
      </c>
    </row>
    <row r="100" spans="1:71" x14ac:dyDescent="0.2">
      <c r="A100" s="36" t="s">
        <v>41</v>
      </c>
      <c r="B100" s="37" t="s">
        <v>160</v>
      </c>
      <c r="G100" s="37" t="s">
        <v>125</v>
      </c>
      <c r="Q100" s="77" t="s">
        <v>126</v>
      </c>
      <c r="R100" s="102">
        <v>6</v>
      </c>
      <c r="S100" s="82"/>
      <c r="T100" s="77" t="s">
        <v>127</v>
      </c>
      <c r="U100" s="53">
        <f>Start_Date</f>
        <v>44197</v>
      </c>
      <c r="V100" s="81">
        <f ca="1">SUM(X100:BS100)</f>
        <v>5747526.4219679981</v>
      </c>
      <c r="X100" s="68">
        <f ca="1">IF(AND(X$4&gt;=$U100,DATEDIF($U100,X$4,"M")/$R100=TRUNC(DATEDIF($U100,X$4,"M")/$R100)),MAX(IFERROR(-MINSUM(Y95:OFFSET(X95,,$R100)),0)+IF(X$4&lt;$U99,$R99,0)-X99,0),0)</f>
        <v>2063983.8483487025</v>
      </c>
      <c r="Y100" s="68">
        <f ca="1">IF(AND(Y$4&gt;=$U100,DATEDIF($U100,Y$4,"M")/$R100=TRUNC(DATEDIF($U100,Y$4,"M")/$R100)),MAX(IFERROR(-MINSUM(Z95:OFFSET(Y95,,$R100)),0)+IF(Y$4&lt;$U99,$R99,0)-Y99,0),0)</f>
        <v>0</v>
      </c>
      <c r="Z100" s="68">
        <f ca="1">IF(AND(Z$4&gt;=$U100,DATEDIF($U100,Z$4,"M")/$R100=TRUNC(DATEDIF($U100,Z$4,"M")/$R100)),MAX(IFERROR(-MINSUM(AA95:OFFSET(Z95,,$R100)),0)+IF(Z$4&lt;$U99,$R99,0)-Z99,0),0)</f>
        <v>0</v>
      </c>
      <c r="AA100" s="68">
        <f ca="1">IF(AND(AA$4&gt;=$U100,DATEDIF($U100,AA$4,"M")/$R100=TRUNC(DATEDIF($U100,AA$4,"M")/$R100)),MAX(IFERROR(-MINSUM(AB95:OFFSET(AA95,,$R100)),0)+IF(AA$4&lt;$U99,$R99,0)-AA99,0),0)</f>
        <v>0</v>
      </c>
      <c r="AB100" s="68">
        <f ca="1">IF(AND(AB$4&gt;=$U100,DATEDIF($U100,AB$4,"M")/$R100=TRUNC(DATEDIF($U100,AB$4,"M")/$R100)),MAX(IFERROR(-MINSUM(AC95:OFFSET(AB95,,$R100)),0)+IF(AB$4&lt;$U99,$R99,0)-AB99,0),0)</f>
        <v>0</v>
      </c>
      <c r="AC100" s="68">
        <f ca="1">IF(AND(AC$4&gt;=$U100,DATEDIF($U100,AC$4,"M")/$R100=TRUNC(DATEDIF($U100,AC$4,"M")/$R100)),MAX(IFERROR(-MINSUM(AD95:OFFSET(AC95,,$R100)),0)+IF(AC$4&lt;$U99,$R99,0)-AC99,0),0)</f>
        <v>0</v>
      </c>
      <c r="AD100" s="68">
        <f ca="1">IF(AND(AD$4&gt;=$U100,DATEDIF($U100,AD$4,"M")/$R100=TRUNC(DATEDIF($U100,AD$4,"M")/$R100)),MAX(IFERROR(-MINSUM(AE95:OFFSET(AD95,,$R100)),0)+IF(AD$4&lt;$U99,$R99,0)-AD99,0),0)</f>
        <v>2409071.7529869936</v>
      </c>
      <c r="AE100" s="68">
        <f ca="1">IF(AND(AE$4&gt;=$U100,DATEDIF($U100,AE$4,"M")/$R100=TRUNC(DATEDIF($U100,AE$4,"M")/$R100)),MAX(IFERROR(-MINSUM(AF95:OFFSET(AE95,,$R100)),0)+IF(AE$4&lt;$U99,$R99,0)-AE99,0),0)</f>
        <v>0</v>
      </c>
      <c r="AF100" s="68">
        <f ca="1">IF(AND(AF$4&gt;=$U100,DATEDIF($U100,AF$4,"M")/$R100=TRUNC(DATEDIF($U100,AF$4,"M")/$R100)),MAX(IFERROR(-MINSUM(AG95:OFFSET(AF95,,$R100)),0)+IF(AF$4&lt;$U99,$R99,0)-AF99,0),0)</f>
        <v>0</v>
      </c>
      <c r="AG100" s="68">
        <f ca="1">IF(AND(AG$4&gt;=$U100,DATEDIF($U100,AG$4,"M")/$R100=TRUNC(DATEDIF($U100,AG$4,"M")/$R100)),MAX(IFERROR(-MINSUM(AH95:OFFSET(AG95,,$R100)),0)+IF(AG$4&lt;$U99,$R99,0)-AG99,0),0)</f>
        <v>0</v>
      </c>
      <c r="AH100" s="68">
        <f ca="1">IF(AND(AH$4&gt;=$U100,DATEDIF($U100,AH$4,"M")/$R100=TRUNC(DATEDIF($U100,AH$4,"M")/$R100)),MAX(IFERROR(-MINSUM(AI95:OFFSET(AH95,,$R100)),0)+IF(AH$4&lt;$U99,$R99,0)-AH99,0),0)</f>
        <v>0</v>
      </c>
      <c r="AI100" s="68">
        <f ca="1">IF(AND(AI$4&gt;=$U100,DATEDIF($U100,AI$4,"M")/$R100=TRUNC(DATEDIF($U100,AI$4,"M")/$R100)),MAX(IFERROR(-MINSUM(AJ95:OFFSET(AI95,,$R100)),0)+IF(AI$4&lt;$U99,$R99,0)-AI99,0),0)</f>
        <v>0</v>
      </c>
      <c r="AJ100" s="68">
        <f ca="1">IF(AND(AJ$4&gt;=$U100,DATEDIF($U100,AJ$4,"M")/$R100=TRUNC(DATEDIF($U100,AJ$4,"M")/$R100)),MAX(IFERROR(-MINSUM(AK95:OFFSET(AJ95,,$R100)),0)+IF(AJ$4&lt;$U99,$R99,0)-AJ99,0),0)</f>
        <v>478919.69613292441</v>
      </c>
      <c r="AK100" s="68">
        <f ca="1">IF(AND(AK$4&gt;=$U100,DATEDIF($U100,AK$4,"M")/$R100=TRUNC(DATEDIF($U100,AK$4,"M")/$R100)),MAX(IFERROR(-MINSUM(AL95:OFFSET(AK95,,$R100)),0)+IF(AK$4&lt;$U99,$R99,0)-AK99,0),0)</f>
        <v>0</v>
      </c>
      <c r="AL100" s="68">
        <f ca="1">IF(AND(AL$4&gt;=$U100,DATEDIF($U100,AL$4,"M")/$R100=TRUNC(DATEDIF($U100,AL$4,"M")/$R100)),MAX(IFERROR(-MINSUM(AM95:OFFSET(AL95,,$R100)),0)+IF(AL$4&lt;$U99,$R99,0)-AL99,0),0)</f>
        <v>0</v>
      </c>
      <c r="AM100" s="68">
        <f ca="1">IF(AND(AM$4&gt;=$U100,DATEDIF($U100,AM$4,"M")/$R100=TRUNC(DATEDIF($U100,AM$4,"M")/$R100)),MAX(IFERROR(-MINSUM(AN95:OFFSET(AM95,,$R100)),0)+IF(AM$4&lt;$U99,$R99,0)-AM99,0),0)</f>
        <v>0</v>
      </c>
      <c r="AN100" s="68">
        <f ca="1">IF(AND(AN$4&gt;=$U100,DATEDIF($U100,AN$4,"M")/$R100=TRUNC(DATEDIF($U100,AN$4,"M")/$R100)),MAX(IFERROR(-MINSUM(AO95:OFFSET(AN95,,$R100)),0)+IF(AN$4&lt;$U99,$R99,0)-AN99,0),0)</f>
        <v>0</v>
      </c>
      <c r="AO100" s="68">
        <f ca="1">IF(AND(AO$4&gt;=$U100,DATEDIF($U100,AO$4,"M")/$R100=TRUNC(DATEDIF($U100,AO$4,"M")/$R100)),MAX(IFERROR(-MINSUM(AP95:OFFSET(AO95,,$R100)),0)+IF(AO$4&lt;$U99,$R99,0)-AO99,0),0)</f>
        <v>0</v>
      </c>
      <c r="AP100" s="68">
        <f ca="1">IF(AND(AP$4&gt;=$U100,DATEDIF($U100,AP$4,"M")/$R100=TRUNC(DATEDIF($U100,AP$4,"M")/$R100)),MAX(IFERROR(-MINSUM(AQ95:OFFSET(AP95,,$R100)),0)+IF(AP$4&lt;$U99,$R99,0)-AP99,0),0)</f>
        <v>559145.44033524371</v>
      </c>
      <c r="AQ100" s="68">
        <f ca="1">IF(AND(AQ$4&gt;=$U100,DATEDIF($U100,AQ$4,"M")/$R100=TRUNC(DATEDIF($U100,AQ$4,"M")/$R100)),MAX(IFERROR(-MINSUM(AR95:OFFSET(AQ95,,$R100)),0)+IF(AQ$4&lt;$U99,$R99,0)-AQ99,0),0)</f>
        <v>0</v>
      </c>
      <c r="AR100" s="68">
        <f ca="1">IF(AND(AR$4&gt;=$U100,DATEDIF($U100,AR$4,"M")/$R100=TRUNC(DATEDIF($U100,AR$4,"M")/$R100)),MAX(IFERROR(-MINSUM(AS95:OFFSET(AR95,,$R100)),0)+IF(AR$4&lt;$U99,$R99,0)-AR99,0),0)</f>
        <v>0</v>
      </c>
      <c r="AS100" s="68">
        <f ca="1">IF(AND(AS$4&gt;=$U100,DATEDIF($U100,AS$4,"M")/$R100=TRUNC(DATEDIF($U100,AS$4,"M")/$R100)),MAX(IFERROR(-MINSUM(AT95:OFFSET(AS95,,$R100)),0)+IF(AS$4&lt;$U99,$R99,0)-AS99,0),0)</f>
        <v>0</v>
      </c>
      <c r="AT100" s="68">
        <f ca="1">IF(AND(AT$4&gt;=$U100,DATEDIF($U100,AT$4,"M")/$R100=TRUNC(DATEDIF($U100,AT$4,"M")/$R100)),MAX(IFERROR(-MINSUM(AU95:OFFSET(AT95,,$R100)),0)+IF(AT$4&lt;$U99,$R99,0)-AT99,0),0)</f>
        <v>0</v>
      </c>
      <c r="AU100" s="68">
        <f ca="1">IF(AND(AU$4&gt;=$U100,DATEDIF($U100,AU$4,"M")/$R100=TRUNC(DATEDIF($U100,AU$4,"M")/$R100)),MAX(IFERROR(-MINSUM(AV95:OFFSET(AU95,,$R100)),0)+IF(AU$4&lt;$U99,$R99,0)-AU99,0),0)</f>
        <v>0</v>
      </c>
      <c r="AV100" s="68">
        <f ca="1">IF(AND(AV$4&gt;=$U100,DATEDIF($U100,AV$4,"M")/$R100=TRUNC(DATEDIF($U100,AV$4,"M")/$R100)),MAX(IFERROR(-MINSUM(AW95:OFFSET(AV95,,$R100)),0)+IF(AV$4&lt;$U99,$R99,0)-AV99,0),0)</f>
        <v>236405.68416413426</v>
      </c>
      <c r="AW100" s="68">
        <f ca="1">IF(AND(AW$4&gt;=$U100,DATEDIF($U100,AW$4,"M")/$R100=TRUNC(DATEDIF($U100,AW$4,"M")/$R100)),MAX(IFERROR(-MINSUM(AX95:OFFSET(AW95,,$R100)),0)+IF(AW$4&lt;$U99,$R99,0)-AW99,0),0)</f>
        <v>0</v>
      </c>
      <c r="AX100" s="68">
        <f ca="1">IF(AND(AX$4&gt;=$U100,DATEDIF($U100,AX$4,"M")/$R100=TRUNC(DATEDIF($U100,AX$4,"M")/$R100)),MAX(IFERROR(-MINSUM(AY95:OFFSET(AX95,,$R100)),0)+IF(AX$4&lt;$U99,$R99,0)-AX99,0),0)</f>
        <v>0</v>
      </c>
      <c r="AY100" s="68">
        <f ca="1">IF(AND(AY$4&gt;=$U100,DATEDIF($U100,AY$4,"M")/$R100=TRUNC(DATEDIF($U100,AY$4,"M")/$R100)),MAX(IFERROR(-MINSUM(AZ95:OFFSET(AY95,,$R100)),0)+IF(AY$4&lt;$U99,$R99,0)-AY99,0),0)</f>
        <v>0</v>
      </c>
      <c r="AZ100" s="68">
        <f ca="1">IF(AND(AZ$4&gt;=$U100,DATEDIF($U100,AZ$4,"M")/$R100=TRUNC(DATEDIF($U100,AZ$4,"M")/$R100)),MAX(IFERROR(-MINSUM(BA95:OFFSET(AZ95,,$R100)),0)+IF(AZ$4&lt;$U99,$R99,0)-AZ99,0),0)</f>
        <v>0</v>
      </c>
      <c r="BA100" s="68">
        <f ca="1">IF(AND(BA$4&gt;=$U100,DATEDIF($U100,BA$4,"M")/$R100=TRUNC(DATEDIF($U100,BA$4,"M")/$R100)),MAX(IFERROR(-MINSUM(BB95:OFFSET(BA95,,$R100)),0)+IF(BA$4&lt;$U99,$R99,0)-BA99,0),0)</f>
        <v>0</v>
      </c>
      <c r="BB100" s="68">
        <f ca="1">IF(AND(BB$4&gt;=$U100,DATEDIF($U100,BB$4,"M")/$R100=TRUNC(DATEDIF($U100,BB$4,"M")/$R100)),MAX(IFERROR(-MINSUM(BC95:OFFSET(BB95,,$R100)),0)+IF(BB$4&lt;$U99,$R99,0)-BB99,0),0)</f>
        <v>0</v>
      </c>
      <c r="BC100" s="68">
        <f ca="1">IF(AND(BC$4&gt;=$U100,DATEDIF($U100,BC$4,"M")/$R100=TRUNC(DATEDIF($U100,BC$4,"M")/$R100)),MAX(IFERROR(-MINSUM(BD95:OFFSET(BC95,,$R100)),0)+IF(BC$4&lt;$U99,$R99,0)-BC99,0),0)</f>
        <v>0</v>
      </c>
      <c r="BD100" s="68">
        <f ca="1">IF(AND(BD$4&gt;=$U100,DATEDIF($U100,BD$4,"M")/$R100=TRUNC(DATEDIF($U100,BD$4,"M")/$R100)),MAX(IFERROR(-MINSUM(BE95:OFFSET(BD95,,$R100)),0)+IF(BD$4&lt;$U99,$R99,0)-BD99,0),0)</f>
        <v>0</v>
      </c>
      <c r="BE100" s="68">
        <f ca="1">IF(AND(BE$4&gt;=$U100,DATEDIF($U100,BE$4,"M")/$R100=TRUNC(DATEDIF($U100,BE$4,"M")/$R100)),MAX(IFERROR(-MINSUM(BF95:OFFSET(BE95,,$R100)),0)+IF(BE$4&lt;$U99,$R99,0)-BE99,0),0)</f>
        <v>0</v>
      </c>
      <c r="BF100" s="68">
        <f ca="1">IF(AND(BF$4&gt;=$U100,DATEDIF($U100,BF$4,"M")/$R100=TRUNC(DATEDIF($U100,BF$4,"M")/$R100)),MAX(IFERROR(-MINSUM(BG95:OFFSET(BF95,,$R100)),0)+IF(BF$4&lt;$U99,$R99,0)-BF99,0),0)</f>
        <v>0</v>
      </c>
      <c r="BG100" s="68">
        <f ca="1">IF(AND(BG$4&gt;=$U100,DATEDIF($U100,BG$4,"M")/$R100=TRUNC(DATEDIF($U100,BG$4,"M")/$R100)),MAX(IFERROR(-MINSUM(BH95:OFFSET(BG95,,$R100)),0)+IF(BG$4&lt;$U99,$R99,0)-BG99,0),0)</f>
        <v>0</v>
      </c>
      <c r="BH100" s="68">
        <f ca="1">IF(AND(BH$4&gt;=$U100,DATEDIF($U100,BH$4,"M")/$R100=TRUNC(DATEDIF($U100,BH$4,"M")/$R100)),MAX(IFERROR(-MINSUM(BI95:OFFSET(BH95,,$R100)),0)+IF(BH$4&lt;$U99,$R99,0)-BH99,0),0)</f>
        <v>0</v>
      </c>
      <c r="BI100" s="68">
        <f ca="1">IF(AND(BI$4&gt;=$U100,DATEDIF($U100,BI$4,"M")/$R100=TRUNC(DATEDIF($U100,BI$4,"M")/$R100)),MAX(IFERROR(-MINSUM(BJ95:OFFSET(BI95,,$R100)),0)+IF(BI$4&lt;$U99,$R99,0)-BI99,0),0)</f>
        <v>0</v>
      </c>
      <c r="BJ100" s="68">
        <f ca="1">IF(AND(BJ$4&gt;=$U100,DATEDIF($U100,BJ$4,"M")/$R100=TRUNC(DATEDIF($U100,BJ$4,"M")/$R100)),MAX(IFERROR(-MINSUM(BK95:OFFSET(BJ95,,$R100)),0)+IF(BJ$4&lt;$U99,$R99,0)-BJ99,0),0)</f>
        <v>0</v>
      </c>
      <c r="BK100" s="68">
        <f ca="1">IF(AND(BK$4&gt;=$U100,DATEDIF($U100,BK$4,"M")/$R100=TRUNC(DATEDIF($U100,BK$4,"M")/$R100)),MAX(IFERROR(-MINSUM(BL95:OFFSET(BK95,,$R100)),0)+IF(BK$4&lt;$U99,$R99,0)-BK99,0),0)</f>
        <v>0</v>
      </c>
      <c r="BL100" s="68">
        <f ca="1">IF(AND(BL$4&gt;=$U100,DATEDIF($U100,BL$4,"M")/$R100=TRUNC(DATEDIF($U100,BL$4,"M")/$R100)),MAX(IFERROR(-MINSUM(BM95:OFFSET(BL95,,$R100)),0)+IF(BL$4&lt;$U99,$R99,0)-BL99,0),0)</f>
        <v>0</v>
      </c>
      <c r="BM100" s="68">
        <f ca="1">IF(AND(BM$4&gt;=$U100,DATEDIF($U100,BM$4,"M")/$R100=TRUNC(DATEDIF($U100,BM$4,"M")/$R100)),MAX(IFERROR(-MINSUM(BN95:OFFSET(BM95,,$R100)),0)+IF(BM$4&lt;$U99,$R99,0)-BM99,0),0)</f>
        <v>0</v>
      </c>
      <c r="BN100" s="68">
        <f ca="1">IF(AND(BN$4&gt;=$U100,DATEDIF($U100,BN$4,"M")/$R100=TRUNC(DATEDIF($U100,BN$4,"M")/$R100)),MAX(IFERROR(-MINSUM(BO95:OFFSET(BN95,,$R100)),0)+IF(BN$4&lt;$U99,$R99,0)-BN99,0),0)</f>
        <v>0</v>
      </c>
      <c r="BO100" s="68">
        <f ca="1">IF(AND(BO$4&gt;=$U100,DATEDIF($U100,BO$4,"M")/$R100=TRUNC(DATEDIF($U100,BO$4,"M")/$R100)),MAX(IFERROR(-MINSUM(BP95:OFFSET(BO95,,$R100)),0)+IF(BO$4&lt;$U99,$R99,0)-BO99,0),0)</f>
        <v>0</v>
      </c>
      <c r="BP100" s="68">
        <f ca="1">IF(AND(BP$4&gt;=$U100,DATEDIF($U100,BP$4,"M")/$R100=TRUNC(DATEDIF($U100,BP$4,"M")/$R100)),MAX(IFERROR(-MINSUM(BQ95:OFFSET(BP95,,$R100)),0)+IF(BP$4&lt;$U99,$R99,0)-BP99,0),0)</f>
        <v>0</v>
      </c>
      <c r="BQ100" s="68">
        <f ca="1">IF(AND(BQ$4&gt;=$U100,DATEDIF($U100,BQ$4,"M")/$R100=TRUNC(DATEDIF($U100,BQ$4,"M")/$R100)),MAX(IFERROR(-MINSUM(BR95:OFFSET(BQ95,,$R100)),0)+IF(BQ$4&lt;$U99,$R99,0)-BQ99,0),0)</f>
        <v>0</v>
      </c>
      <c r="BR100" s="68">
        <f ca="1">IF(AND(BR$4&gt;=$U100,DATEDIF($U100,BR$4,"M")/$R100=TRUNC(DATEDIF($U100,BR$4,"M")/$R100)),MAX(IFERROR(-MINSUM(BS95:OFFSET(BR95,,$R100)),0)+IF(BR$4&lt;$U99,$R99,0)-BR99,0),0)</f>
        <v>0</v>
      </c>
      <c r="BS100" s="68">
        <f ca="1">IF(AND(BS$4&gt;=$U100,DATEDIF($U100,BS$4,"M")/$R100=TRUNC(DATEDIF($U100,BS$4,"M")/$R100)),MAX(IFERROR(-MINSUM(BT95:OFFSET(BS95,,$R100)),0)+IF(BS$4&lt;$U99,$R99,0)-BS99,0),0)</f>
        <v>0</v>
      </c>
    </row>
    <row r="101" spans="1:71" x14ac:dyDescent="0.2">
      <c r="A101" s="36" t="s">
        <v>41</v>
      </c>
      <c r="B101" s="37" t="s">
        <v>161</v>
      </c>
      <c r="G101" s="37" t="s">
        <v>129</v>
      </c>
      <c r="Q101" s="77" t="s">
        <v>130</v>
      </c>
      <c r="R101" s="108" t="s">
        <v>131</v>
      </c>
      <c r="S101" s="82"/>
      <c r="T101" s="77" t="s">
        <v>132</v>
      </c>
      <c r="U101" s="53">
        <f>U100</f>
        <v>44197</v>
      </c>
      <c r="V101" s="81">
        <f ca="1">SUM(X101:BS101)</f>
        <v>8489166.6666999999</v>
      </c>
      <c r="X101" s="68">
        <f ca="1">IF(X$4&gt;=$U101,IF(OR(MINSUM(X95:$BS95)=0,$R101="Y"),MAX(X99-$R99+MIN(SUM(Y95:OFFSET(X95,,$R100-ROUND((DATEDIF($U100,X$4,"M")/6-TRUNC(DATEDIF($U100,X$4,"M")/6))*$R100,0))),0),0),MAX(MINSUM(X95:$BS95),0)),0)+IF(X$4=$U99,$R99,0)</f>
        <v>0</v>
      </c>
      <c r="Y101" s="37">
        <f ca="1">IF(Y$4&gt;=$U101,IF(OR(MINSUM(Y95:$BS95)=0,$R101="Y"),MAX(Y99-$R99+MIN(SUM(Z95:OFFSET(Y95,,$R100-ROUND((DATEDIF($U100,Y$4,"M")/6-TRUNC(DATEDIF($U100,Y$4,"M")/6))*$R100,0))),0),0),MAX(MINSUM(Y95:$BS95),0)),0)+IF(Y$4=$U99,$R99,0)</f>
        <v>0</v>
      </c>
      <c r="Z101" s="68">
        <f ca="1">IF(Z$4&gt;=$U101,IF(OR(MINSUM(Z95:$BS95)=0,$R101="Y"),MAX(Z99-$R99+MIN(SUM(AA95:OFFSET(Z95,,$R100-ROUND((DATEDIF($U100,Z$4,"M")/6-TRUNC(DATEDIF($U100,Z$4,"M")/6))*$R100,0))),0),0),MAX(MINSUM(Z95:$BS95),0)),0)+IF(Z$4=$U99,$R99,0)</f>
        <v>0</v>
      </c>
      <c r="AA101" s="68">
        <f ca="1">IF(AA$4&gt;=$U101,IF(OR(MINSUM(AA95:$BS95)=0,$R101="Y"),MAX(AA99-$R99+MIN(SUM(AB95:OFFSET(AA95,,$R100-ROUND((DATEDIF($U100,AA$4,"M")/6-TRUNC(DATEDIF($U100,AA$4,"M")/6))*$R100,0))),0),0),MAX(MINSUM(AA95:$BS95),0)),0)+IF(AA$4=$U99,$R99,0)</f>
        <v>0</v>
      </c>
      <c r="AB101" s="68">
        <f ca="1">IF(AB$4&gt;=$U101,IF(OR(MINSUM(AB95:$BS95)=0,$R101="Y"),MAX(AB99-$R99+MIN(SUM(AC95:OFFSET(AB95,,$R100-ROUND((DATEDIF($U100,AB$4,"M")/6-TRUNC(DATEDIF($U100,AB$4,"M")/6))*$R100,0))),0),0),MAX(MINSUM(AB95:$BS95),0)),0)+IF(AB$4=$U99,$R99,0)</f>
        <v>0</v>
      </c>
      <c r="AC101" s="68">
        <f ca="1">IF(AC$4&gt;=$U101,IF(OR(MINSUM(AC95:$BS95)=0,$R101="Y"),MAX(AC99-$R99+MIN(SUM(AD95:OFFSET(AC95,,$R100-ROUND((DATEDIF($U100,AC$4,"M")/6-TRUNC(DATEDIF($U100,AC$4,"M")/6))*$R100,0))),0),0),MAX(MINSUM(AC95:$BS95),0)),0)+IF(AC$4=$U99,$R99,0)</f>
        <v>0</v>
      </c>
      <c r="AD101" s="68">
        <f ca="1">IF(AD$4&gt;=$U101,IF(OR(MINSUM(AD95:$BS95)=0,$R101="Y"),MAX(AD99-$R99+MIN(SUM(AE95:OFFSET(AD95,,$R100-ROUND((DATEDIF($U100,AD$4,"M")/6-TRUNC(DATEDIF($U100,AD$4,"M")/6))*$R100,0))),0),0),MAX(MINSUM(AD95:$BS95),0)),0)+IF(AD$4=$U99,$R99,0)</f>
        <v>0</v>
      </c>
      <c r="AE101" s="68">
        <f ca="1">IF(AE$4&gt;=$U101,IF(OR(MINSUM(AE95:$BS95)=0,$R101="Y"),MAX(AE99-$R99+MIN(SUM(AF95:OFFSET(AE95,,$R100-ROUND((DATEDIF($U100,AE$4,"M")/6-TRUNC(DATEDIF($U100,AE$4,"M")/6))*$R100,0))),0),0),MAX(MINSUM(AE95:$BS95),0)),0)+IF(AE$4=$U99,$R99,0)</f>
        <v>0</v>
      </c>
      <c r="AF101" s="68">
        <f ca="1">IF(AF$4&gt;=$U101,IF(OR(MINSUM(AF95:$BS95)=0,$R101="Y"),MAX(AF99-$R99+MIN(SUM(AG95:OFFSET(AF95,,$R100-ROUND((DATEDIF($U100,AF$4,"M")/6-TRUNC(DATEDIF($U100,AF$4,"M")/6))*$R100,0))),0),0),MAX(MINSUM(AF95:$BS95),0)),0)+IF(AF$4=$U99,$R99,0)</f>
        <v>0</v>
      </c>
      <c r="AG101" s="68">
        <f ca="1">IF(AG$4&gt;=$U101,IF(OR(MINSUM(AG95:$BS95)=0,$R101="Y"),MAX(AG99-$R99+MIN(SUM(AH95:OFFSET(AG95,,$R100-ROUND((DATEDIF($U100,AG$4,"M")/6-TRUNC(DATEDIF($U100,AG$4,"M")/6))*$R100,0))),0),0),MAX(MINSUM(AG95:$BS95),0)),0)+IF(AG$4=$U99,$R99,0)</f>
        <v>0</v>
      </c>
      <c r="AH101" s="68">
        <f ca="1">IF(AH$4&gt;=$U101,IF(OR(MINSUM(AH95:$BS95)=0,$R101="Y"),MAX(AH99-$R99+MIN(SUM(AI95:OFFSET(AH95,,$R100-ROUND((DATEDIF($U100,AH$4,"M")/6-TRUNC(DATEDIF($U100,AH$4,"M")/6))*$R100,0))),0),0),MAX(MINSUM(AH95:$BS95),0)),0)+IF(AH$4=$U99,$R99,0)</f>
        <v>0</v>
      </c>
      <c r="AI101" s="68">
        <f ca="1">IF(AI$4&gt;=$U101,IF(OR(MINSUM(AI95:$BS95)=0,$R101="Y"),MAX(AI99-$R99+MIN(SUM(AJ95:OFFSET(AI95,,$R100-ROUND((DATEDIF($U100,AI$4,"M")/6-TRUNC(DATEDIF($U100,AI$4,"M")/6))*$R100,0))),0),0),MAX(MINSUM(AI95:$BS95),0)),0)+IF(AI$4=$U99,$R99,0)</f>
        <v>0</v>
      </c>
      <c r="AJ101" s="68">
        <f ca="1">IF(AJ$4&gt;=$U101,IF(OR(MINSUM(AJ95:$BS95)=0,$R101="Y"),MAX(AJ99-$R99+MIN(SUM(AK95:OFFSET(AJ95,,$R100-ROUND((DATEDIF($U100,AJ$4,"M")/6-TRUNC(DATEDIF($U100,AJ$4,"M")/6))*$R100,0))),0),0),MAX(MINSUM(AJ95:$BS95),0)),0)+IF(AJ$4=$U99,$R99,0)</f>
        <v>0</v>
      </c>
      <c r="AK101" s="68">
        <f ca="1">IF(AK$4&gt;=$U101,IF(OR(MINSUM(AK95:$BS95)=0,$R101="Y"),MAX(AK99-$R99+MIN(SUM(AL95:OFFSET(AK95,,$R100-ROUND((DATEDIF($U100,AK$4,"M")/6-TRUNC(DATEDIF($U100,AK$4,"M")/6))*$R100,0))),0),0),MAX(MINSUM(AK95:$BS95),0)),0)+IF(AK$4=$U99,$R99,0)</f>
        <v>0</v>
      </c>
      <c r="AL101" s="68">
        <f ca="1">IF(AL$4&gt;=$U101,IF(OR(MINSUM(AL95:$BS95)=0,$R101="Y"),MAX(AL99-$R99+MIN(SUM(AM95:OFFSET(AL95,,$R100-ROUND((DATEDIF($U100,AL$4,"M")/6-TRUNC(DATEDIF($U100,AL$4,"M")/6))*$R100,0))),0),0),MAX(MINSUM(AL95:$BS95),0)),0)+IF(AL$4=$U99,$R99,0)</f>
        <v>0</v>
      </c>
      <c r="AM101" s="68">
        <f ca="1">IF(AM$4&gt;=$U101,IF(OR(MINSUM(AM95:$BS95)=0,$R101="Y"),MAX(AM99-$R99+MIN(SUM(AN95:OFFSET(AM95,,$R100-ROUND((DATEDIF($U100,AM$4,"M")/6-TRUNC(DATEDIF($U100,AM$4,"M")/6))*$R100,0))),0),0),MAX(MINSUM(AM95:$BS95),0)),0)+IF(AM$4=$U99,$R99,0)</f>
        <v>0</v>
      </c>
      <c r="AN101" s="68">
        <f ca="1">IF(AN$4&gt;=$U101,IF(OR(MINSUM(AN95:$BS95)=0,$R101="Y"),MAX(AN99-$R99+MIN(SUM(AO95:OFFSET(AN95,,$R100-ROUND((DATEDIF($U100,AN$4,"M")/6-TRUNC(DATEDIF($U100,AN$4,"M")/6))*$R100,0))),0),0),MAX(MINSUM(AN95:$BS95),0)),0)+IF(AN$4=$U99,$R99,0)</f>
        <v>0</v>
      </c>
      <c r="AO101" s="68">
        <f ca="1">IF(AO$4&gt;=$U101,IF(OR(MINSUM(AO95:$BS95)=0,$R101="Y"),MAX(AO99-$R99+MIN(SUM(AP95:OFFSET(AO95,,$R100-ROUND((DATEDIF($U100,AO$4,"M")/6-TRUNC(DATEDIF($U100,AO$4,"M")/6))*$R100,0))),0),0),MAX(MINSUM(AO95:$BS95),0)),0)+IF(AO$4=$U99,$R99,0)</f>
        <v>0</v>
      </c>
      <c r="AP101" s="68">
        <f ca="1">IF(AP$4&gt;=$U101,IF(OR(MINSUM(AP95:$BS95)=0,$R101="Y"),MAX(AP99-$R99+MIN(SUM(AQ95:OFFSET(AP95,,$R100-ROUND((DATEDIF($U100,AP$4,"M")/6-TRUNC(DATEDIF($U100,AP$4,"M")/6))*$R100,0))),0),0),MAX(MINSUM(AP95:$BS95),0)),0)+IF(AP$4=$U99,$R99,0)</f>
        <v>0</v>
      </c>
      <c r="AQ101" s="68">
        <f ca="1">IF(AQ$4&gt;=$U101,IF(OR(MINSUM(AQ95:$BS95)=0,$R101="Y"),MAX(AQ99-$R99+MIN(SUM(AR95:OFFSET(AQ95,,$R100-ROUND((DATEDIF($U100,AQ$4,"M")/6-TRUNC(DATEDIF($U100,AQ$4,"M")/6))*$R100,0))),0),0),MAX(MINSUM(AQ95:$BS95),0)),0)+IF(AQ$4=$U99,$R99,0)</f>
        <v>0</v>
      </c>
      <c r="AR101" s="68">
        <f ca="1">IF(AR$4&gt;=$U101,IF(OR(MINSUM(AR95:$BS95)=0,$R101="Y"),MAX(AR99-$R99+MIN(SUM(AS95:OFFSET(AR95,,$R100-ROUND((DATEDIF($U100,AR$4,"M")/6-TRUNC(DATEDIF($U100,AR$4,"M")/6))*$R100,0))),0),0),MAX(MINSUM(AR95:$BS95),0)),0)+IF(AR$4=$U99,$R99,0)</f>
        <v>0</v>
      </c>
      <c r="AS101" s="68">
        <f ca="1">IF(AS$4&gt;=$U101,IF(OR(MINSUM(AS95:$BS95)=0,$R101="Y"),MAX(AS99-$R99+MIN(SUM(AT95:OFFSET(AS95,,$R100-ROUND((DATEDIF($U100,AS$4,"M")/6-TRUNC(DATEDIF($U100,AS$4,"M")/6))*$R100,0))),0),0),MAX(MINSUM(AS95:$BS95),0)),0)+IF(AS$4=$U99,$R99,0)</f>
        <v>0</v>
      </c>
      <c r="AT101" s="68">
        <f ca="1">IF(AT$4&gt;=$U101,IF(OR(MINSUM(AT95:$BS95)=0,$R101="Y"),MAX(AT99-$R99+MIN(SUM(AU95:OFFSET(AT95,,$R100-ROUND((DATEDIF($U100,AT$4,"M")/6-TRUNC(DATEDIF($U100,AT$4,"M")/6))*$R100,0))),0),0),MAX(MINSUM(AT95:$BS95),0)),0)+IF(AT$4=$U99,$R99,0)</f>
        <v>0</v>
      </c>
      <c r="AU101" s="68">
        <f ca="1">IF(AU$4&gt;=$U101,IF(OR(MINSUM(AU95:$BS95)=0,$R101="Y"),MAX(AU99-$R99+MIN(SUM(AV95:OFFSET(AU95,,$R100-ROUND((DATEDIF($U100,AU$4,"M")/6-TRUNC(DATEDIF($U100,AU$4,"M")/6))*$R100,0))),0),0),MAX(MINSUM(AU95:$BS95),0)),0)+IF(AU$4=$U99,$R99,0)</f>
        <v>0</v>
      </c>
      <c r="AV101" s="68">
        <f ca="1">IF(AV$4&gt;=$U101,IF(OR(MINSUM(AV95:$BS95)=0,$R101="Y"),MAX(AV99-$R99+MIN(SUM(AW95:OFFSET(AV95,,$R100-ROUND((DATEDIF($U100,AV$4,"M")/6-TRUNC(DATEDIF($U100,AV$4,"M")/6))*$R100,0))),0),0),MAX(MINSUM(AV95:$BS95),0)),0)+IF(AV$4=$U99,$R99,0)</f>
        <v>0</v>
      </c>
      <c r="AW101" s="68">
        <f ca="1">IF(AW$4&gt;=$U101,IF(OR(MINSUM(AW95:$BS95)=0,$R101="Y"),MAX(AW99-$R99+MIN(SUM(AX95:OFFSET(AW95,,$R100-ROUND((DATEDIF($U100,AW$4,"M")/6-TRUNC(DATEDIF($U100,AW$4,"M")/6))*$R100,0))),0),0),MAX(MINSUM(AW95:$BS95),0)),0)+IF(AW$4=$U99,$R99,0)</f>
        <v>0</v>
      </c>
      <c r="AX101" s="68">
        <f ca="1">IF(AX$4&gt;=$U101,IF(OR(MINSUM(AX95:$BS95)=0,$R101="Y"),MAX(AX99-$R99+MIN(SUM(AY95:OFFSET(AX95,,$R100-ROUND((DATEDIF($U100,AX$4,"M")/6-TRUNC(DATEDIF($U100,AX$4,"M")/6))*$R100,0))),0),0),MAX(MINSUM(AX95:$BS95),0)),0)+IF(AX$4=$U99,$R99,0)</f>
        <v>8239166.6666999999</v>
      </c>
      <c r="AY101" s="68">
        <f ca="1">IF(AY$4&gt;=$U101,IF(OR(MINSUM(AY95:$BS95)=0,$R101="Y"),MAX(AY99-$R99+MIN(SUM(AZ95:OFFSET(AY95,,$R100-ROUND((DATEDIF($U100,AY$4,"M")/6-TRUNC(DATEDIF($U100,AY$4,"M")/6))*$R100,0))),0),0),MAX(MINSUM(AY95:$BS95),0)),0)+IF(AY$4=$U99,$R99,0)</f>
        <v>250000</v>
      </c>
      <c r="AZ101" s="68">
        <f ca="1">IF(AZ$4&gt;=$U101,IF(OR(MINSUM(AZ95:$BS95)=0,$R101="Y"),MAX(AZ99-$R99+MIN(SUM(BA95:OFFSET(AZ95,,$R100-ROUND((DATEDIF($U100,AZ$4,"M")/6-TRUNC(DATEDIF($U100,AZ$4,"M")/6))*$R100,0))),0),0),MAX(MINSUM(AZ95:$BS95),0)),0)+IF(AZ$4=$U99,$R99,0)</f>
        <v>0</v>
      </c>
      <c r="BA101" s="68">
        <f ca="1">IF(BA$4&gt;=$U101,IF(OR(MINSUM(BA95:$BS95)=0,$R101="Y"),MAX(BA99-$R99+MIN(SUM(BB95:OFFSET(BA95,,$R100-ROUND((DATEDIF($U100,BA$4,"M")/6-TRUNC(DATEDIF($U100,BA$4,"M")/6))*$R100,0))),0),0),MAX(MINSUM(BA95:$BS95),0)),0)+IF(BA$4=$U99,$R99,0)</f>
        <v>0</v>
      </c>
      <c r="BB101" s="68">
        <f ca="1">IF(BB$4&gt;=$U101,IF(OR(MINSUM(BB95:$BS95)=0,$R101="Y"),MAX(BB99-$R99+MIN(SUM(BC95:OFFSET(BB95,,$R100-ROUND((DATEDIF($U100,BB$4,"M")/6-TRUNC(DATEDIF($U100,BB$4,"M")/6))*$R100,0))),0),0),MAX(MINSUM(BB95:$BS95),0)),0)+IF(BB$4=$U99,$R99,0)</f>
        <v>0</v>
      </c>
      <c r="BC101" s="68">
        <f ca="1">IF(BC$4&gt;=$U101,IF(OR(MINSUM(BC95:$BS95)=0,$R101="Y"),MAX(BC99-$R99+MIN(SUM(BD95:OFFSET(BC95,,$R100-ROUND((DATEDIF($U100,BC$4,"M")/6-TRUNC(DATEDIF($U100,BC$4,"M")/6))*$R100,0))),0),0),MAX(MINSUM(BC95:$BS95),0)),0)+IF(BC$4=$U99,$R99,0)</f>
        <v>0</v>
      </c>
      <c r="BD101" s="68">
        <f ca="1">IF(BD$4&gt;=$U101,IF(OR(MINSUM(BD95:$BS95)=0,$R101="Y"),MAX(BD99-$R99+MIN(SUM(BE95:OFFSET(BD95,,$R100-ROUND((DATEDIF($U100,BD$4,"M")/6-TRUNC(DATEDIF($U100,BD$4,"M")/6))*$R100,0))),0),0),MAX(MINSUM(BD95:$BS95),0)),0)+IF(BD$4=$U99,$R99,0)</f>
        <v>0</v>
      </c>
      <c r="BE101" s="68">
        <f ca="1">IF(BE$4&gt;=$U101,IF(OR(MINSUM(BE95:$BS95)=0,$R101="Y"),MAX(BE99-$R99+MIN(SUM(BF95:OFFSET(BE95,,$R100-ROUND((DATEDIF($U100,BE$4,"M")/6-TRUNC(DATEDIF($U100,BE$4,"M")/6))*$R100,0))),0),0),MAX(MINSUM(BE95:$BS95),0)),0)+IF(BE$4=$U99,$R99,0)</f>
        <v>0</v>
      </c>
      <c r="BF101" s="68">
        <f ca="1">IF(BF$4&gt;=$U101,IF(OR(MINSUM(BF95:$BS95)=0,$R101="Y"),MAX(BF99-$R99+MIN(SUM(BG95:OFFSET(BF95,,$R100-ROUND((DATEDIF($U100,BF$4,"M")/6-TRUNC(DATEDIF($U100,BF$4,"M")/6))*$R100,0))),0),0),MAX(MINSUM(BF95:$BS95),0)),0)+IF(BF$4=$U99,$R99,0)</f>
        <v>0</v>
      </c>
      <c r="BG101" s="68">
        <f ca="1">IF(BG$4&gt;=$U101,IF(OR(MINSUM(BG95:$BS95)=0,$R101="Y"),MAX(BG99-$R99+MIN(SUM(BH95:OFFSET(BG95,,$R100-ROUND((DATEDIF($U100,BG$4,"M")/6-TRUNC(DATEDIF($U100,BG$4,"M")/6))*$R100,0))),0),0),MAX(MINSUM(BG95:$BS95),0)),0)+IF(BG$4=$U99,$R99,0)</f>
        <v>0</v>
      </c>
      <c r="BH101" s="68">
        <f ca="1">IF(BH$4&gt;=$U101,IF(OR(MINSUM(BH95:$BS95)=0,$R101="Y"),MAX(BH99-$R99+MIN(SUM(BI95:OFFSET(BH95,,$R100-ROUND((DATEDIF($U100,BH$4,"M")/6-TRUNC(DATEDIF($U100,BH$4,"M")/6))*$R100,0))),0),0),MAX(MINSUM(BH95:$BS95),0)),0)+IF(BH$4=$U99,$R99,0)</f>
        <v>0</v>
      </c>
      <c r="BI101" s="68">
        <f ca="1">IF(BI$4&gt;=$U101,IF(OR(MINSUM(BI95:$BS95)=0,$R101="Y"),MAX(BI99-$R99+MIN(SUM(BJ95:OFFSET(BI95,,$R100-ROUND((DATEDIF($U100,BI$4,"M")/6-TRUNC(DATEDIF($U100,BI$4,"M")/6))*$R100,0))),0),0),MAX(MINSUM(BI95:$BS95),0)),0)+IF(BI$4=$U99,$R99,0)</f>
        <v>0</v>
      </c>
      <c r="BJ101" s="68">
        <f ca="1">IF(BJ$4&gt;=$U101,IF(OR(MINSUM(BJ95:$BS95)=0,$R101="Y"),MAX(BJ99-$R99+MIN(SUM(BK95:OFFSET(BJ95,,$R100-ROUND((DATEDIF($U100,BJ$4,"M")/6-TRUNC(DATEDIF($U100,BJ$4,"M")/6))*$R100,0))),0),0),MAX(MINSUM(BJ95:$BS95),0)),0)+IF(BJ$4=$U99,$R99,0)</f>
        <v>0</v>
      </c>
      <c r="BK101" s="68">
        <f ca="1">IF(BK$4&gt;=$U101,IF(OR(MINSUM(BK95:$BS95)=0,$R101="Y"),MAX(BK99-$R99+MIN(SUM(BL95:OFFSET(BK95,,$R100-ROUND((DATEDIF($U100,BK$4,"M")/6-TRUNC(DATEDIF($U100,BK$4,"M")/6))*$R100,0))),0),0),MAX(MINSUM(BK95:$BS95),0)),0)+IF(BK$4=$U99,$R99,0)</f>
        <v>0</v>
      </c>
      <c r="BL101" s="68">
        <f ca="1">IF(BL$4&gt;=$U101,IF(OR(MINSUM(BL95:$BS95)=0,$R101="Y"),MAX(BL99-$R99+MIN(SUM(BM95:OFFSET(BL95,,$R100-ROUND((DATEDIF($U100,BL$4,"M")/6-TRUNC(DATEDIF($U100,BL$4,"M")/6))*$R100,0))),0),0),MAX(MINSUM(BL95:$BS95),0)),0)+IF(BL$4=$U99,$R99,0)</f>
        <v>0</v>
      </c>
      <c r="BM101" s="68">
        <f ca="1">IF(BM$4&gt;=$U101,IF(OR(MINSUM(BM95:$BS95)=0,$R101="Y"),MAX(BM99-$R99+MIN(SUM(BN95:OFFSET(BM95,,$R100-ROUND((DATEDIF($U100,BM$4,"M")/6-TRUNC(DATEDIF($U100,BM$4,"M")/6))*$R100,0))),0),0),MAX(MINSUM(BM95:$BS95),0)),0)+IF(BM$4=$U99,$R99,0)</f>
        <v>0</v>
      </c>
      <c r="BN101" s="68">
        <f ca="1">IF(BN$4&gt;=$U101,IF(OR(MINSUM(BN95:$BS95)=0,$R101="Y"),MAX(BN99-$R99+MIN(SUM(BO95:OFFSET(BN95,,$R100-ROUND((DATEDIF($U100,BN$4,"M")/6-TRUNC(DATEDIF($U100,BN$4,"M")/6))*$R100,0))),0),0),MAX(MINSUM(BN95:$BS95),0)),0)+IF(BN$4=$U99,$R99,0)</f>
        <v>0</v>
      </c>
      <c r="BO101" s="68">
        <f ca="1">IF(BO$4&gt;=$U101,IF(OR(MINSUM(BO95:$BS95)=0,$R101="Y"),MAX(BO99-$R99+MIN(SUM(BP95:OFFSET(BO95,,$R100-ROUND((DATEDIF($U100,BO$4,"M")/6-TRUNC(DATEDIF($U100,BO$4,"M")/6))*$R100,0))),0),0),MAX(MINSUM(BO95:$BS95),0)),0)+IF(BO$4=$U99,$R99,0)</f>
        <v>0</v>
      </c>
      <c r="BP101" s="68">
        <f ca="1">IF(BP$4&gt;=$U101,IF(OR(MINSUM(BP95:$BS95)=0,$R101="Y"),MAX(BP99-$R99+MIN(SUM(BQ95:OFFSET(BP95,,$R100-ROUND((DATEDIF($U100,BP$4,"M")/6-TRUNC(DATEDIF($U100,BP$4,"M")/6))*$R100,0))),0),0),MAX(MINSUM(BP95:$BS95),0)),0)+IF(BP$4=$U99,$R99,0)</f>
        <v>0</v>
      </c>
      <c r="BQ101" s="68">
        <f ca="1">IF(BQ$4&gt;=$U101,IF(OR(MINSUM(BQ95:$BS95)=0,$R101="Y"),MAX(BQ99-$R99+MIN(SUM(BR95:OFFSET(BQ95,,$R100-ROUND((DATEDIF($U100,BQ$4,"M")/6-TRUNC(DATEDIF($U100,BQ$4,"M")/6))*$R100,0))),0),0),MAX(MINSUM(BQ95:$BS95),0)),0)+IF(BQ$4=$U99,$R99,0)</f>
        <v>0</v>
      </c>
      <c r="BR101" s="68">
        <f ca="1">IF(BR$4&gt;=$U101,IF(OR(MINSUM(BR95:$BS95)=0,$R101="Y"),MAX(BR99-$R99+MIN(SUM(BS95:OFFSET(BR95,,$R100-ROUND((DATEDIF($U100,BR$4,"M")/6-TRUNC(DATEDIF($U100,BR$4,"M")/6))*$R100,0))),0),0),MAX(MINSUM(BR95:$BS95),0)),0)+IF(BR$4=$U99,$R99,0)</f>
        <v>0</v>
      </c>
      <c r="BS101" s="68">
        <f ca="1">IF(BS$4&gt;=$U101,IF(OR(MINSUM(BS95:$BS95)=0,$R101="Y"),MAX(BS99-$R99+MIN(SUM(BT95:OFFSET(BS95,,$R100-ROUND((DATEDIF($U100,BS$4,"M")/6-TRUNC(DATEDIF($U100,BS$4,"M")/6))*$R100,0))),0),0),MAX(MINSUM(BS95:$BS95),0)),0)+IF(BS$4=$U99,$R99,0)</f>
        <v>0</v>
      </c>
    </row>
    <row r="102" spans="1:71" x14ac:dyDescent="0.2">
      <c r="A102" s="36" t="s">
        <v>41</v>
      </c>
      <c r="B102" s="37" t="s">
        <v>162</v>
      </c>
      <c r="G102" s="37" t="s">
        <v>134</v>
      </c>
      <c r="R102" s="82"/>
      <c r="V102" s="69"/>
      <c r="X102" s="68">
        <f ca="1">X99+X100-X101</f>
        <v>2063983.8483487025</v>
      </c>
      <c r="Y102" s="68">
        <f ca="1">Y99+Y100-Y101</f>
        <v>1887350.5149999999</v>
      </c>
      <c r="Z102" s="68">
        <f t="shared" ref="Z102:BS102" ca="1" si="22">Z99+Z100-Z101</f>
        <v>1560717.1817000001</v>
      </c>
      <c r="AA102" s="68">
        <f t="shared" ca="1" si="22"/>
        <v>1364083.8484</v>
      </c>
      <c r="AB102" s="68">
        <f t="shared" ca="1" si="22"/>
        <v>998018.59710000001</v>
      </c>
      <c r="AC102" s="68">
        <f t="shared" ca="1" si="22"/>
        <v>639740.95050000004</v>
      </c>
      <c r="AD102" s="68">
        <f t="shared" ca="1" si="22"/>
        <v>2659071.7530869935</v>
      </c>
      <c r="AE102" s="68">
        <f t="shared" ca="1" si="22"/>
        <v>2313937.7957000001</v>
      </c>
      <c r="AF102" s="68">
        <f t="shared" ca="1" si="22"/>
        <v>1945812.7494999999</v>
      </c>
      <c r="AG102" s="68">
        <f t="shared" ca="1" si="22"/>
        <v>1551371.1878</v>
      </c>
      <c r="AH102" s="68">
        <f t="shared" ca="1" si="22"/>
        <v>1110794.4761999999</v>
      </c>
      <c r="AI102" s="68">
        <f t="shared" ca="1" si="22"/>
        <v>682652.36470000003</v>
      </c>
      <c r="AJ102" s="68">
        <f t="shared" ca="1" si="22"/>
        <v>728919.69613292441</v>
      </c>
      <c r="AK102" s="68">
        <f t="shared" ca="1" si="22"/>
        <v>250000</v>
      </c>
      <c r="AL102" s="68">
        <f t="shared" ca="1" si="22"/>
        <v>2809980.2749999999</v>
      </c>
      <c r="AM102" s="68">
        <f t="shared" ca="1" si="22"/>
        <v>2415538.7132999999</v>
      </c>
      <c r="AN102" s="68">
        <f t="shared" ca="1" si="22"/>
        <v>1969656.5906</v>
      </c>
      <c r="AO102" s="68">
        <f t="shared" ca="1" si="22"/>
        <v>1631563.6562000001</v>
      </c>
      <c r="AP102" s="68">
        <f t="shared" ca="1" si="22"/>
        <v>1884301.4794352436</v>
      </c>
      <c r="AQ102" s="68">
        <f t="shared" ca="1" si="22"/>
        <v>1508936.67</v>
      </c>
      <c r="AR102" s="68">
        <f t="shared" ca="1" si="22"/>
        <v>1263704.7520000001</v>
      </c>
      <c r="AS102" s="68">
        <f t="shared" ca="1" si="22"/>
        <v>1045334.7126</v>
      </c>
      <c r="AT102" s="68">
        <f t="shared" ca="1" si="22"/>
        <v>584951.41359999997</v>
      </c>
      <c r="AU102" s="68">
        <f t="shared" ca="1" si="22"/>
        <v>409526.87089999998</v>
      </c>
      <c r="AV102" s="68">
        <f t="shared" ca="1" si="22"/>
        <v>486405.68426413427</v>
      </c>
      <c r="AW102" s="68">
        <f t="shared" ca="1" si="22"/>
        <v>250000</v>
      </c>
      <c r="AX102" s="68">
        <f t="shared" ca="1" si="22"/>
        <v>1390000</v>
      </c>
      <c r="AY102" s="68">
        <f t="shared" ca="1" si="22"/>
        <v>0</v>
      </c>
      <c r="AZ102" s="68">
        <f t="shared" ca="1" si="22"/>
        <v>0</v>
      </c>
      <c r="BA102" s="68">
        <f t="shared" ca="1" si="22"/>
        <v>0</v>
      </c>
      <c r="BB102" s="68">
        <f t="shared" ca="1" si="22"/>
        <v>0</v>
      </c>
      <c r="BC102" s="68">
        <f t="shared" ca="1" si="22"/>
        <v>0</v>
      </c>
      <c r="BD102" s="68">
        <f t="shared" ca="1" si="22"/>
        <v>0</v>
      </c>
      <c r="BE102" s="68">
        <f t="shared" ca="1" si="22"/>
        <v>0</v>
      </c>
      <c r="BF102" s="68">
        <f t="shared" ca="1" si="22"/>
        <v>0</v>
      </c>
      <c r="BG102" s="68">
        <f t="shared" ca="1" si="22"/>
        <v>0</v>
      </c>
      <c r="BH102" s="68">
        <f t="shared" ca="1" si="22"/>
        <v>0</v>
      </c>
      <c r="BI102" s="68">
        <f t="shared" ca="1" si="22"/>
        <v>0</v>
      </c>
      <c r="BJ102" s="68">
        <f t="shared" ca="1" si="22"/>
        <v>0</v>
      </c>
      <c r="BK102" s="68">
        <f t="shared" ca="1" si="22"/>
        <v>0</v>
      </c>
      <c r="BL102" s="68">
        <f t="shared" ca="1" si="22"/>
        <v>0</v>
      </c>
      <c r="BM102" s="68">
        <f t="shared" ca="1" si="22"/>
        <v>0</v>
      </c>
      <c r="BN102" s="68">
        <f t="shared" ca="1" si="22"/>
        <v>0</v>
      </c>
      <c r="BO102" s="68">
        <f t="shared" ca="1" si="22"/>
        <v>0</v>
      </c>
      <c r="BP102" s="68">
        <f t="shared" ca="1" si="22"/>
        <v>0</v>
      </c>
      <c r="BQ102" s="68">
        <f t="shared" ca="1" si="22"/>
        <v>0</v>
      </c>
      <c r="BR102" s="68">
        <f t="shared" ca="1" si="22"/>
        <v>0</v>
      </c>
      <c r="BS102" s="68">
        <f t="shared" ca="1" si="22"/>
        <v>0</v>
      </c>
    </row>
    <row r="103" spans="1:71" s="63" customFormat="1" x14ac:dyDescent="0.2">
      <c r="A103" s="62" t="s">
        <v>41</v>
      </c>
      <c r="B103" s="63" t="s">
        <v>163</v>
      </c>
      <c r="G103" s="63" t="s">
        <v>158</v>
      </c>
      <c r="I103" s="65"/>
      <c r="R103" s="95" t="s">
        <v>91</v>
      </c>
      <c r="S103" s="96">
        <f ca="1">-V103/MIN(X104:BS104)</f>
        <v>0.47701220376351794</v>
      </c>
      <c r="T103" s="95" t="s">
        <v>92</v>
      </c>
      <c r="U103" s="96">
        <f t="array" aca="1" ref="U103" ca="1">((1+IRR(OFFSET($W103,,MATCH(TRUE,$X103:$BS103&lt;&gt;0,0)):OFFSET($W103,,MATCH($V104,$X104:$BS104,0)),10%))^12)-1</f>
        <v>0.26110777139735419</v>
      </c>
      <c r="V103" s="66">
        <f ca="1">SUM(X103:BS103)</f>
        <v>2741640.2447320018</v>
      </c>
      <c r="X103" s="67">
        <f ca="1">X101-X100</f>
        <v>-2063983.8483487025</v>
      </c>
      <c r="Y103" s="67">
        <f t="shared" ref="Y103:BS103" ca="1" si="23">Y101-Y100</f>
        <v>0</v>
      </c>
      <c r="Z103" s="67">
        <f t="shared" ca="1" si="23"/>
        <v>0</v>
      </c>
      <c r="AA103" s="67">
        <f t="shared" ca="1" si="23"/>
        <v>0</v>
      </c>
      <c r="AB103" s="67">
        <f t="shared" ca="1" si="23"/>
        <v>0</v>
      </c>
      <c r="AC103" s="67">
        <f t="shared" ca="1" si="23"/>
        <v>0</v>
      </c>
      <c r="AD103" s="67">
        <f t="shared" ca="1" si="23"/>
        <v>-2409071.7529869936</v>
      </c>
      <c r="AE103" s="67">
        <f t="shared" ca="1" si="23"/>
        <v>0</v>
      </c>
      <c r="AF103" s="67">
        <f t="shared" ca="1" si="23"/>
        <v>0</v>
      </c>
      <c r="AG103" s="67">
        <f t="shared" ca="1" si="23"/>
        <v>0</v>
      </c>
      <c r="AH103" s="67">
        <f t="shared" ca="1" si="23"/>
        <v>0</v>
      </c>
      <c r="AI103" s="67">
        <f t="shared" ca="1" si="23"/>
        <v>0</v>
      </c>
      <c r="AJ103" s="67">
        <f t="shared" ca="1" si="23"/>
        <v>-478919.69613292441</v>
      </c>
      <c r="AK103" s="67">
        <f t="shared" ca="1" si="23"/>
        <v>0</v>
      </c>
      <c r="AL103" s="67">
        <f t="shared" ca="1" si="23"/>
        <v>0</v>
      </c>
      <c r="AM103" s="67">
        <f t="shared" ca="1" si="23"/>
        <v>0</v>
      </c>
      <c r="AN103" s="67">
        <f t="shared" ca="1" si="23"/>
        <v>0</v>
      </c>
      <c r="AO103" s="67">
        <f t="shared" ca="1" si="23"/>
        <v>0</v>
      </c>
      <c r="AP103" s="67">
        <f t="shared" ca="1" si="23"/>
        <v>-559145.44033524371</v>
      </c>
      <c r="AQ103" s="67">
        <f t="shared" ca="1" si="23"/>
        <v>0</v>
      </c>
      <c r="AR103" s="67">
        <f t="shared" ca="1" si="23"/>
        <v>0</v>
      </c>
      <c r="AS103" s="67">
        <f t="shared" ca="1" si="23"/>
        <v>0</v>
      </c>
      <c r="AT103" s="67">
        <f t="shared" ca="1" si="23"/>
        <v>0</v>
      </c>
      <c r="AU103" s="67">
        <f t="shared" ca="1" si="23"/>
        <v>0</v>
      </c>
      <c r="AV103" s="67">
        <f t="shared" ca="1" si="23"/>
        <v>-236405.68416413426</v>
      </c>
      <c r="AW103" s="67">
        <f t="shared" ca="1" si="23"/>
        <v>0</v>
      </c>
      <c r="AX103" s="67">
        <f t="shared" ca="1" si="23"/>
        <v>8239166.6666999999</v>
      </c>
      <c r="AY103" s="67">
        <f t="shared" ca="1" si="23"/>
        <v>250000</v>
      </c>
      <c r="AZ103" s="67">
        <f t="shared" ca="1" si="23"/>
        <v>0</v>
      </c>
      <c r="BA103" s="67">
        <f t="shared" ca="1" si="23"/>
        <v>0</v>
      </c>
      <c r="BB103" s="67">
        <f t="shared" ca="1" si="23"/>
        <v>0</v>
      </c>
      <c r="BC103" s="67">
        <f t="shared" ca="1" si="23"/>
        <v>0</v>
      </c>
      <c r="BD103" s="67">
        <f t="shared" ca="1" si="23"/>
        <v>0</v>
      </c>
      <c r="BE103" s="67">
        <f t="shared" ca="1" si="23"/>
        <v>0</v>
      </c>
      <c r="BF103" s="67">
        <f t="shared" ca="1" si="23"/>
        <v>0</v>
      </c>
      <c r="BG103" s="67">
        <f t="shared" ca="1" si="23"/>
        <v>0</v>
      </c>
      <c r="BH103" s="67">
        <f t="shared" ca="1" si="23"/>
        <v>0</v>
      </c>
      <c r="BI103" s="67">
        <f t="shared" ca="1" si="23"/>
        <v>0</v>
      </c>
      <c r="BJ103" s="67">
        <f t="shared" ca="1" si="23"/>
        <v>0</v>
      </c>
      <c r="BK103" s="67">
        <f t="shared" ca="1" si="23"/>
        <v>0</v>
      </c>
      <c r="BL103" s="67">
        <f t="shared" ca="1" si="23"/>
        <v>0</v>
      </c>
      <c r="BM103" s="67">
        <f t="shared" ca="1" si="23"/>
        <v>0</v>
      </c>
      <c r="BN103" s="67">
        <f t="shared" ca="1" si="23"/>
        <v>0</v>
      </c>
      <c r="BO103" s="67">
        <f t="shared" ca="1" si="23"/>
        <v>0</v>
      </c>
      <c r="BP103" s="67">
        <f t="shared" ca="1" si="23"/>
        <v>0</v>
      </c>
      <c r="BQ103" s="67">
        <f t="shared" ca="1" si="23"/>
        <v>0</v>
      </c>
      <c r="BR103" s="67">
        <f t="shared" ca="1" si="23"/>
        <v>0</v>
      </c>
      <c r="BS103" s="67">
        <f t="shared" ca="1" si="23"/>
        <v>0</v>
      </c>
    </row>
    <row r="104" spans="1:71" s="89" customFormat="1" x14ac:dyDescent="0.2">
      <c r="A104" s="88" t="s">
        <v>41</v>
      </c>
      <c r="B104" s="89" t="s">
        <v>164</v>
      </c>
      <c r="G104" s="89" t="str">
        <f>"Cumulative "&amp;G103</f>
        <v>Cumulative Levered Investor's Cash Flow</v>
      </c>
      <c r="I104" s="90"/>
      <c r="V104" s="91">
        <f ca="1">$BS104</f>
        <v>2741640.2447320018</v>
      </c>
      <c r="X104" s="92">
        <f t="shared" ref="X104:BS104" ca="1" si="24">W104+X103</f>
        <v>-2063983.8483487025</v>
      </c>
      <c r="Y104" s="92">
        <f t="shared" ca="1" si="24"/>
        <v>-2063983.8483487025</v>
      </c>
      <c r="Z104" s="92">
        <f t="shared" ca="1" si="24"/>
        <v>-2063983.8483487025</v>
      </c>
      <c r="AA104" s="92">
        <f t="shared" ca="1" si="24"/>
        <v>-2063983.8483487025</v>
      </c>
      <c r="AB104" s="92">
        <f t="shared" ca="1" si="24"/>
        <v>-2063983.8483487025</v>
      </c>
      <c r="AC104" s="92">
        <f t="shared" ca="1" si="24"/>
        <v>-2063983.8483487025</v>
      </c>
      <c r="AD104" s="92">
        <f t="shared" ca="1" si="24"/>
        <v>-4473055.6013356959</v>
      </c>
      <c r="AE104" s="92">
        <f t="shared" ca="1" si="24"/>
        <v>-4473055.6013356959</v>
      </c>
      <c r="AF104" s="92">
        <f t="shared" ca="1" si="24"/>
        <v>-4473055.6013356959</v>
      </c>
      <c r="AG104" s="92">
        <f t="shared" ca="1" si="24"/>
        <v>-4473055.6013356959</v>
      </c>
      <c r="AH104" s="92">
        <f t="shared" ca="1" si="24"/>
        <v>-4473055.6013356959</v>
      </c>
      <c r="AI104" s="92">
        <f t="shared" ca="1" si="24"/>
        <v>-4473055.6013356959</v>
      </c>
      <c r="AJ104" s="92">
        <f t="shared" ca="1" si="24"/>
        <v>-4951975.2974686204</v>
      </c>
      <c r="AK104" s="92">
        <f t="shared" ca="1" si="24"/>
        <v>-4951975.2974686204</v>
      </c>
      <c r="AL104" s="92">
        <f t="shared" ca="1" si="24"/>
        <v>-4951975.2974686204</v>
      </c>
      <c r="AM104" s="92">
        <f t="shared" ca="1" si="24"/>
        <v>-4951975.2974686204</v>
      </c>
      <c r="AN104" s="92">
        <f t="shared" ca="1" si="24"/>
        <v>-4951975.2974686204</v>
      </c>
      <c r="AO104" s="92">
        <f t="shared" ca="1" si="24"/>
        <v>-4951975.2974686204</v>
      </c>
      <c r="AP104" s="92">
        <f t="shared" ca="1" si="24"/>
        <v>-5511120.7378038643</v>
      </c>
      <c r="AQ104" s="92">
        <f t="shared" ca="1" si="24"/>
        <v>-5511120.7378038643</v>
      </c>
      <c r="AR104" s="92">
        <f t="shared" ca="1" si="24"/>
        <v>-5511120.7378038643</v>
      </c>
      <c r="AS104" s="92">
        <f t="shared" ca="1" si="24"/>
        <v>-5511120.7378038643</v>
      </c>
      <c r="AT104" s="92">
        <f t="shared" ca="1" si="24"/>
        <v>-5511120.7378038643</v>
      </c>
      <c r="AU104" s="92">
        <f t="shared" ca="1" si="24"/>
        <v>-5511120.7378038643</v>
      </c>
      <c r="AV104" s="92">
        <f t="shared" ca="1" si="24"/>
        <v>-5747526.4219679981</v>
      </c>
      <c r="AW104" s="92">
        <f t="shared" ca="1" si="24"/>
        <v>-5747526.4219679981</v>
      </c>
      <c r="AX104" s="92">
        <f t="shared" ca="1" si="24"/>
        <v>2491640.2447320018</v>
      </c>
      <c r="AY104" s="92">
        <f t="shared" ca="1" si="24"/>
        <v>2741640.2447320018</v>
      </c>
      <c r="AZ104" s="92">
        <f t="shared" ca="1" si="24"/>
        <v>2741640.2447320018</v>
      </c>
      <c r="BA104" s="92">
        <f t="shared" ca="1" si="24"/>
        <v>2741640.2447320018</v>
      </c>
      <c r="BB104" s="92">
        <f t="shared" ca="1" si="24"/>
        <v>2741640.2447320018</v>
      </c>
      <c r="BC104" s="92">
        <f t="shared" ca="1" si="24"/>
        <v>2741640.2447320018</v>
      </c>
      <c r="BD104" s="92">
        <f t="shared" ca="1" si="24"/>
        <v>2741640.2447320018</v>
      </c>
      <c r="BE104" s="92">
        <f t="shared" ca="1" si="24"/>
        <v>2741640.2447320018</v>
      </c>
      <c r="BF104" s="92">
        <f t="shared" ca="1" si="24"/>
        <v>2741640.2447320018</v>
      </c>
      <c r="BG104" s="92">
        <f t="shared" ca="1" si="24"/>
        <v>2741640.2447320018</v>
      </c>
      <c r="BH104" s="92">
        <f t="shared" ca="1" si="24"/>
        <v>2741640.2447320018</v>
      </c>
      <c r="BI104" s="92">
        <f t="shared" ca="1" si="24"/>
        <v>2741640.2447320018</v>
      </c>
      <c r="BJ104" s="92">
        <f t="shared" ca="1" si="24"/>
        <v>2741640.2447320018</v>
      </c>
      <c r="BK104" s="92">
        <f t="shared" ca="1" si="24"/>
        <v>2741640.2447320018</v>
      </c>
      <c r="BL104" s="92">
        <f t="shared" ca="1" si="24"/>
        <v>2741640.2447320018</v>
      </c>
      <c r="BM104" s="92">
        <f t="shared" ca="1" si="24"/>
        <v>2741640.2447320018</v>
      </c>
      <c r="BN104" s="92">
        <f t="shared" ca="1" si="24"/>
        <v>2741640.2447320018</v>
      </c>
      <c r="BO104" s="92">
        <f t="shared" ca="1" si="24"/>
        <v>2741640.2447320018</v>
      </c>
      <c r="BP104" s="92">
        <f t="shared" ca="1" si="24"/>
        <v>2741640.2447320018</v>
      </c>
      <c r="BQ104" s="92">
        <f t="shared" ca="1" si="24"/>
        <v>2741640.2447320018</v>
      </c>
      <c r="BR104" s="92">
        <f t="shared" ca="1" si="24"/>
        <v>2741640.2447320018</v>
      </c>
      <c r="BS104" s="92">
        <f t="shared" ca="1" si="24"/>
        <v>2741640.2447320018</v>
      </c>
    </row>
    <row r="105" spans="1:71" x14ac:dyDescent="0.2">
      <c r="V105" s="69"/>
    </row>
    <row r="106" spans="1:71" x14ac:dyDescent="0.2">
      <c r="G106" s="128" t="s">
        <v>0</v>
      </c>
      <c r="V106" s="69"/>
    </row>
    <row r="107" spans="1:71" x14ac:dyDescent="0.2">
      <c r="V107" s="69"/>
    </row>
    <row r="108" spans="1:71" x14ac:dyDescent="0.2">
      <c r="V108" s="69"/>
    </row>
    <row r="109" spans="1:71" x14ac:dyDescent="0.2">
      <c r="V109" s="69"/>
    </row>
    <row r="110" spans="1:71" x14ac:dyDescent="0.2">
      <c r="V110" s="69"/>
    </row>
    <row r="111" spans="1:71" x14ac:dyDescent="0.2">
      <c r="V111" s="69"/>
    </row>
    <row r="112" spans="1:71" x14ac:dyDescent="0.2">
      <c r="V112" s="69"/>
    </row>
    <row r="113" spans="22:22" x14ac:dyDescent="0.2">
      <c r="V113" s="69"/>
    </row>
    <row r="114" spans="22:22" x14ac:dyDescent="0.2">
      <c r="V114" s="69"/>
    </row>
  </sheetData>
  <mergeCells count="7">
    <mergeCell ref="P4:U4"/>
    <mergeCell ref="A1:A4"/>
    <mergeCell ref="B1:B4"/>
    <mergeCell ref="C1:C4"/>
    <mergeCell ref="D1:D4"/>
    <mergeCell ref="E1:E4"/>
    <mergeCell ref="J4:O4"/>
  </mergeCells>
  <dataValidations count="2">
    <dataValidation type="list" allowBlank="1" showInputMessage="1" showErrorMessage="1" sqref="D21 D17 D37 D25:D27 D31:D33 R76 R101" xr:uid="{1A54E437-3E15-41C8-AAAC-8EC90A1DB014}">
      <formula1>"Y,N"</formula1>
    </dataValidation>
    <dataValidation type="list" allowBlank="1" showInputMessage="1" showErrorMessage="1" sqref="N21 N26" xr:uid="{87A76BDF-0055-4BFA-BB0D-42C3A3E04C83}">
      <formula1>"Remaining mos., Next mo."</formula1>
    </dataValidation>
  </dataValidations>
  <pageMargins left="0.47244094488188981" right="0.47244094488188981" top="0.47244094488188981" bottom="0.47244094488188981" header="0.31496062992125984" footer="0.31496062992125984"/>
  <pageSetup paperSize="8" scale="47" fitToHeight="0" orientation="landscape" horizontalDpi="0" verticalDpi="0"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F0D6D2-A0A9-456C-8B33-37F5EAAAE24E}">
  <sheetPr codeName="Sheet4"/>
  <dimension ref="A1:H55"/>
  <sheetViews>
    <sheetView showGridLines="0" workbookViewId="0"/>
  </sheetViews>
  <sheetFormatPr defaultRowHeight="15" x14ac:dyDescent="0.25"/>
  <cols>
    <col min="1" max="1" width="3.7109375" customWidth="1"/>
    <col min="2" max="2" width="11.28515625" customWidth="1"/>
    <col min="3" max="3" width="6.7109375" customWidth="1"/>
    <col min="4" max="4" width="11" customWidth="1"/>
    <col min="5" max="5" width="15.28515625" customWidth="1"/>
    <col min="6" max="6" width="11.28515625" customWidth="1"/>
  </cols>
  <sheetData>
    <row r="1" spans="1:8" x14ac:dyDescent="0.25">
      <c r="B1" s="116" t="s">
        <v>165</v>
      </c>
      <c r="C1" s="117">
        <v>10</v>
      </c>
      <c r="D1" s="116" t="s">
        <v>166</v>
      </c>
      <c r="E1" s="117">
        <v>0</v>
      </c>
    </row>
    <row r="2" spans="1:8" x14ac:dyDescent="0.25">
      <c r="B2" s="116" t="s">
        <v>167</v>
      </c>
      <c r="C2" s="117">
        <v>1</v>
      </c>
      <c r="D2" s="116" t="s">
        <v>15</v>
      </c>
      <c r="E2" s="117">
        <v>10</v>
      </c>
      <c r="F2" s="118" t="s">
        <v>168</v>
      </c>
      <c r="G2" s="117">
        <v>3</v>
      </c>
    </row>
    <row r="3" spans="1:8" x14ac:dyDescent="0.25">
      <c r="B3" s="119" t="s">
        <v>169</v>
      </c>
      <c r="C3" s="119" t="s">
        <v>170</v>
      </c>
      <c r="D3" s="119" t="s">
        <v>171</v>
      </c>
      <c r="E3" s="119" t="s">
        <v>172</v>
      </c>
      <c r="F3" s="119" t="s">
        <v>173</v>
      </c>
    </row>
    <row r="4" spans="1:8" x14ac:dyDescent="0.25">
      <c r="B4" s="120">
        <f>D4</f>
        <v>3.3159046264249557E-2</v>
      </c>
      <c r="C4" s="121">
        <f>$E$1-$C$2*$C$1/2</f>
        <v>-5</v>
      </c>
      <c r="D4" s="121">
        <f>IFERROR((EXP(-0.5*((C4-$E$1)/$G$2)^2))/($G$2*SQRT(2*PI())),"")</f>
        <v>3.3159046264249557E-2</v>
      </c>
      <c r="E4" s="121">
        <f>IF(MAX($E3:E$3)=SUM($F$4:F4),"",SUM($F$4:F4))</f>
        <v>0.35482934558589518</v>
      </c>
      <c r="F4" s="121">
        <f>IFERROR((D4)*$E$2/(SUM($D$4:$D$53)),"")</f>
        <v>0.35482934558589518</v>
      </c>
    </row>
    <row r="5" spans="1:8" x14ac:dyDescent="0.25">
      <c r="A5" t="str">
        <f>IFERROR(IF(ROUND(B5-B4,2)&lt;&gt;ROUND(D5,2),"ERROR",""),"")</f>
        <v/>
      </c>
      <c r="B5" s="122">
        <f t="shared" ref="B5:B53" si="0">IFERROR(D5+B4,"")</f>
        <v>8.782907115624744E-2</v>
      </c>
      <c r="C5" s="123">
        <f>IFERROR(IF(MAX($C$4:C4)=MIN(C4+$C$2,ABS($E$1-$C$2*$C$1/2)),"",MIN(C4+$C$2,ABS($E$1-$C$2*$C$1/2))),"")</f>
        <v>-4</v>
      </c>
      <c r="D5" s="123">
        <f>IFERROR((EXP(-0.5*((C5-$E$1)/$G$2)^2))/($G$2*SQRT(2*PI())),"")</f>
        <v>5.4670024891997876E-2</v>
      </c>
      <c r="E5" s="123">
        <f>IF(MAX($E$4:E4)=SUM($F$4:F5),"",SUM($F$4:F5))</f>
        <v>0.93984403512196735</v>
      </c>
      <c r="F5" s="123">
        <f>IFERROR((D5)*$E$2/(SUM($D$4:$D$53)),"")</f>
        <v>0.58501468953607216</v>
      </c>
    </row>
    <row r="6" spans="1:8" x14ac:dyDescent="0.25">
      <c r="A6" t="str">
        <f t="shared" ref="A6:A53" si="1">IFERROR(IF(ROUND(B6-B5,2)&lt;&gt;ROUND(D6,2),"ERROR",""),"")</f>
        <v/>
      </c>
      <c r="B6" s="122">
        <f>IFERROR(D6+B5,"")</f>
        <v>0.16848597932929521</v>
      </c>
      <c r="C6" s="123">
        <f>IFERROR(IF(MAX($C$4:C5)=MIN(C5+$C$2,ABS($E$1-$C$2*$C$1/2)),"",MIN(C5+$C$2,ABS($E$1-$C$2*$C$1/2))),"")</f>
        <v>-3</v>
      </c>
      <c r="D6" s="123">
        <f t="shared" ref="D6:D53" si="2">IFERROR((EXP(-0.5*((C6-$E$1)/$G$2)^2))/($G$2*SQRT(2*PI())),"")</f>
        <v>8.0656908173047784E-2</v>
      </c>
      <c r="E6" s="123">
        <f>IF(MAX($E$4:E5)=SUM($F$4:F6),"",SUM($F$4:F6))</f>
        <v>1.8029399672531712</v>
      </c>
      <c r="F6" s="123">
        <f t="shared" ref="F6:F53" si="3">IFERROR((D6)*$E$2/(SUM($D$4:$D$53)),"")</f>
        <v>0.86309593213120384</v>
      </c>
    </row>
    <row r="7" spans="1:8" x14ac:dyDescent="0.25">
      <c r="A7" t="str">
        <f t="shared" si="1"/>
        <v/>
      </c>
      <c r="B7" s="122">
        <f t="shared" si="0"/>
        <v>0.27496864783674596</v>
      </c>
      <c r="C7" s="123">
        <f>IFERROR(IF(MAX($C$4:C6)=MIN(C6+$C$2,ABS($E$1-$C$2*$C$1/2)),"",MIN(C6+$C$2,ABS($E$1-$C$2*$C$1/2))),"")</f>
        <v>-2</v>
      </c>
      <c r="D7" s="123">
        <f t="shared" si="2"/>
        <v>0.10648266850745075</v>
      </c>
      <c r="E7" s="123">
        <f>IF(MAX($E$4:E6)=SUM($F$4:F7),"",SUM($F$4:F7))</f>
        <v>2.9423929925796113</v>
      </c>
      <c r="F7" s="123">
        <f t="shared" si="3"/>
        <v>1.1394530253264401</v>
      </c>
    </row>
    <row r="8" spans="1:8" x14ac:dyDescent="0.25">
      <c r="A8" t="str">
        <f t="shared" si="1"/>
        <v/>
      </c>
      <c r="B8" s="122">
        <f t="shared" si="0"/>
        <v>0.40076305706774368</v>
      </c>
      <c r="C8" s="123">
        <f>IFERROR(IF(MAX($C$4:C7)=MIN(C7+$C$2,ABS($E$1-$C$2*$C$1/2)),"",MIN(C7+$C$2,ABS($E$1-$C$2*$C$1/2))),"")</f>
        <v>-1</v>
      </c>
      <c r="D8" s="123">
        <f t="shared" si="2"/>
        <v>0.12579440923099772</v>
      </c>
      <c r="E8" s="123">
        <f>IF(MAX($E$4:E7)=SUM($F$4:F8),"",SUM($F$4:F8))</f>
        <v>4.2884976890202644</v>
      </c>
      <c r="F8" s="123">
        <f t="shared" si="3"/>
        <v>1.3461046964406527</v>
      </c>
    </row>
    <row r="9" spans="1:8" x14ac:dyDescent="0.25">
      <c r="A9" t="str">
        <f t="shared" si="1"/>
        <v/>
      </c>
      <c r="B9" s="122">
        <f t="shared" si="0"/>
        <v>0.53374381720155462</v>
      </c>
      <c r="C9" s="123">
        <f>IFERROR(IF(MAX($C$4:C8)=MIN(C8+$C$2,ABS($E$1-$C$2*$C$1/2)),"",MIN(C8+$C$2,ABS($E$1-$C$2*$C$1/2))),"")</f>
        <v>0</v>
      </c>
      <c r="D9" s="123">
        <f t="shared" si="2"/>
        <v>0.13298076013381091</v>
      </c>
      <c r="E9" s="123">
        <f>IF(MAX($E$4:E8)=SUM($F$4:F9),"",SUM($F$4:F9))</f>
        <v>5.7115023109797347</v>
      </c>
      <c r="F9" s="123">
        <f t="shared" si="3"/>
        <v>1.4230046219594701</v>
      </c>
    </row>
    <row r="10" spans="1:8" x14ac:dyDescent="0.25">
      <c r="A10" t="str">
        <f t="shared" si="1"/>
        <v/>
      </c>
      <c r="B10" s="122">
        <f t="shared" si="0"/>
        <v>0.65953822643255233</v>
      </c>
      <c r="C10" s="123">
        <f>IFERROR(IF(MAX($C$4:C9)=MIN(C9+$C$2,ABS($E$1-$C$2*$C$1/2)),"",MIN(C9+$C$2,ABS($E$1-$C$2*$C$1/2))),"")</f>
        <v>1</v>
      </c>
      <c r="D10" s="123">
        <f t="shared" si="2"/>
        <v>0.12579440923099772</v>
      </c>
      <c r="E10" s="123">
        <f>IF(MAX($E$4:E9)=SUM($F$4:F10),"",SUM($F$4:F10))</f>
        <v>7.0576070074203869</v>
      </c>
      <c r="F10" s="123">
        <f t="shared" si="3"/>
        <v>1.3461046964406527</v>
      </c>
    </row>
    <row r="11" spans="1:8" x14ac:dyDescent="0.25">
      <c r="A11" t="str">
        <f t="shared" si="1"/>
        <v/>
      </c>
      <c r="B11" s="122">
        <f t="shared" si="0"/>
        <v>0.76602089494000314</v>
      </c>
      <c r="C11" s="123">
        <f>IFERROR(IF(MAX($C$4:C10)=MIN(C10+$C$2,ABS($E$1-$C$2*$C$1/2)),"",MIN(C10+$C$2,ABS($E$1-$C$2*$C$1/2))),"")</f>
        <v>2</v>
      </c>
      <c r="D11" s="123">
        <f t="shared" si="2"/>
        <v>0.10648266850745075</v>
      </c>
      <c r="E11" s="123">
        <f>IF(MAX($E$4:E10)=SUM($F$4:F11),"",SUM($F$4:F11))</f>
        <v>8.1970600327468262</v>
      </c>
      <c r="F11" s="123">
        <f t="shared" si="3"/>
        <v>1.1394530253264401</v>
      </c>
    </row>
    <row r="12" spans="1:8" x14ac:dyDescent="0.25">
      <c r="A12" t="str">
        <f t="shared" si="1"/>
        <v/>
      </c>
      <c r="B12" s="122">
        <f t="shared" si="0"/>
        <v>0.84667780311305096</v>
      </c>
      <c r="C12" s="123">
        <f>IFERROR(IF(MAX($C$4:C11)=MIN(C11+$C$2,ABS($E$1-$C$2*$C$1/2)),"",MIN(C11+$C$2,ABS($E$1-$C$2*$C$1/2))),"")</f>
        <v>3</v>
      </c>
      <c r="D12" s="123">
        <f t="shared" si="2"/>
        <v>8.0656908173047784E-2</v>
      </c>
      <c r="E12" s="123">
        <f>IF(MAX($E$4:E11)=SUM($F$4:F12),"",SUM($F$4:F12))</f>
        <v>9.0601559648780299</v>
      </c>
      <c r="F12" s="123">
        <f t="shared" si="3"/>
        <v>0.86309593213120384</v>
      </c>
    </row>
    <row r="13" spans="1:8" x14ac:dyDescent="0.25">
      <c r="A13" t="str">
        <f t="shared" si="1"/>
        <v/>
      </c>
      <c r="B13" s="122">
        <f t="shared" si="0"/>
        <v>0.90134782800504887</v>
      </c>
      <c r="C13" s="123">
        <f>IFERROR(IF(MAX($C$4:C12)=MIN(C12+$C$2,ABS($E$1-$C$2*$C$1/2)),"",MIN(C12+$C$2,ABS($E$1-$C$2*$C$1/2))),"")</f>
        <v>4</v>
      </c>
      <c r="D13" s="123">
        <f t="shared" si="2"/>
        <v>5.4670024891997876E-2</v>
      </c>
      <c r="E13" s="123">
        <f>IF(MAX($E$4:E12)=SUM($F$4:F13),"",SUM($F$4:F13))</f>
        <v>9.6451706544141018</v>
      </c>
      <c r="F13" s="123">
        <f t="shared" si="3"/>
        <v>0.58501468953607216</v>
      </c>
    </row>
    <row r="14" spans="1:8" x14ac:dyDescent="0.25">
      <c r="A14" t="str">
        <f t="shared" si="1"/>
        <v/>
      </c>
      <c r="B14" s="122">
        <f t="shared" si="0"/>
        <v>0.93450687426929846</v>
      </c>
      <c r="C14" s="123">
        <f>IFERROR(IF(MAX($C$4:C13)=MIN(C13+$C$2,ABS($E$1-$C$2*$C$1/2)),"",MIN(C13+$C$2,ABS($E$1-$C$2*$C$1/2))),"")</f>
        <v>5</v>
      </c>
      <c r="D14" s="123">
        <f t="shared" si="2"/>
        <v>3.3159046264249557E-2</v>
      </c>
      <c r="E14" s="123">
        <f>IF(MAX($E$4:E13)=SUM($F$4:F14),"",SUM($F$4:F14))</f>
        <v>9.9999999999999964</v>
      </c>
      <c r="F14" s="123">
        <f t="shared" si="3"/>
        <v>0.35482934558589518</v>
      </c>
    </row>
    <row r="15" spans="1:8" x14ac:dyDescent="0.25">
      <c r="A15" t="str">
        <f t="shared" si="1"/>
        <v/>
      </c>
      <c r="B15" s="122" t="str">
        <f t="shared" si="0"/>
        <v/>
      </c>
      <c r="C15" s="123" t="str">
        <f>IFERROR(IF(MAX($C$4:C14)=MIN(C14+$C$2,ABS($E$1-$C$2*$C$1/2)),"",MIN(C14+$C$2,ABS($E$1-$C$2*$C$1/2))),"")</f>
        <v/>
      </c>
      <c r="D15" s="123" t="str">
        <f t="shared" si="2"/>
        <v/>
      </c>
      <c r="E15" s="123" t="str">
        <f>IF(MAX($E$4:E14)=SUM($F$4:F15),"",SUM($F$4:F15))</f>
        <v/>
      </c>
      <c r="F15" s="123" t="str">
        <f t="shared" si="3"/>
        <v/>
      </c>
    </row>
    <row r="16" spans="1:8" x14ac:dyDescent="0.25">
      <c r="A16" t="str">
        <f t="shared" si="1"/>
        <v/>
      </c>
      <c r="B16" s="122" t="str">
        <f t="shared" si="0"/>
        <v/>
      </c>
      <c r="C16" s="123" t="str">
        <f>IFERROR(IF(MAX($C$4:C15)=MIN(C15+$C$2,ABS($E$1-$C$2*$C$1/2)),"",MIN(C15+$C$2,ABS($E$1-$C$2*$C$1/2))),"")</f>
        <v/>
      </c>
      <c r="D16" s="123" t="str">
        <f t="shared" si="2"/>
        <v/>
      </c>
      <c r="E16" s="123" t="str">
        <f>IF(MAX($E$4:E15)=SUM($F$4:F16),"",SUM($F$4:F16))</f>
        <v/>
      </c>
      <c r="F16" s="123" t="str">
        <f t="shared" si="3"/>
        <v/>
      </c>
      <c r="H16" t="str">
        <f>IFERROR(IF(C16=-C14,0,$E$2/(1+EXP(-$G$2*(C16-$E$1)))),"")</f>
        <v/>
      </c>
    </row>
    <row r="17" spans="1:8" x14ac:dyDescent="0.25">
      <c r="A17" t="str">
        <f t="shared" si="1"/>
        <v/>
      </c>
      <c r="B17" s="122" t="str">
        <f t="shared" si="0"/>
        <v/>
      </c>
      <c r="C17" s="123" t="str">
        <f>IFERROR(IF(MAX($C$4:C16)=MIN(C16+$C$2,ABS($E$1-$C$2*$C$1/2)),"",MIN(C16+$C$2,ABS($E$1-$C$2*$C$1/2))),"")</f>
        <v/>
      </c>
      <c r="D17" s="123" t="str">
        <f t="shared" si="2"/>
        <v/>
      </c>
      <c r="E17" s="123" t="str">
        <f>IF(MAX($E$4:E16)=SUM($F$4:F17),"",SUM($F$4:F17))</f>
        <v/>
      </c>
      <c r="F17" s="123" t="str">
        <f t="shared" si="3"/>
        <v/>
      </c>
      <c r="H17" t="str">
        <f>IFERROR(IF(C17=-C15,0,$E$2/(1+EXP(-$G$2*(C17-$E$1)))),"")</f>
        <v/>
      </c>
    </row>
    <row r="18" spans="1:8" x14ac:dyDescent="0.25">
      <c r="A18" t="str">
        <f t="shared" si="1"/>
        <v/>
      </c>
      <c r="B18" s="122" t="str">
        <f t="shared" si="0"/>
        <v/>
      </c>
      <c r="C18" s="123" t="str">
        <f>IFERROR(IF(MAX($C$4:C17)=MIN(C17+$C$2,ABS($E$1-$C$2*$C$1/2)),"",MIN(C17+$C$2,ABS($E$1-$C$2*$C$1/2))),"")</f>
        <v/>
      </c>
      <c r="D18" s="123" t="str">
        <f t="shared" si="2"/>
        <v/>
      </c>
      <c r="E18" s="123" t="str">
        <f>IF(MAX($E$4:E17)=SUM($F$4:F18),"",SUM($F$4:F18))</f>
        <v/>
      </c>
      <c r="F18" s="123" t="str">
        <f t="shared" si="3"/>
        <v/>
      </c>
    </row>
    <row r="19" spans="1:8" x14ac:dyDescent="0.25">
      <c r="A19" t="str">
        <f t="shared" si="1"/>
        <v/>
      </c>
      <c r="B19" s="122" t="str">
        <f t="shared" si="0"/>
        <v/>
      </c>
      <c r="C19" s="123" t="str">
        <f>IFERROR(IF(MAX($C$4:C18)=MIN(C18+$C$2,ABS($E$1-$C$2*$C$1/2)),"",MIN(C18+$C$2,ABS($E$1-$C$2*$C$1/2))),"")</f>
        <v/>
      </c>
      <c r="D19" s="123" t="str">
        <f t="shared" si="2"/>
        <v/>
      </c>
      <c r="E19" s="123" t="str">
        <f>IF(MAX($E$4:E18)=SUM($F$4:F19),"",SUM($F$4:F19))</f>
        <v/>
      </c>
      <c r="F19" s="123" t="str">
        <f t="shared" si="3"/>
        <v/>
      </c>
    </row>
    <row r="20" spans="1:8" x14ac:dyDescent="0.25">
      <c r="A20" t="str">
        <f t="shared" si="1"/>
        <v/>
      </c>
      <c r="B20" s="122" t="str">
        <f t="shared" si="0"/>
        <v/>
      </c>
      <c r="C20" s="123" t="str">
        <f>IFERROR(IF(MAX($C$4:C19)=MIN(C19+$C$2,ABS($E$1-$C$2*$C$1/2)),"",MIN(C19+$C$2,ABS($E$1-$C$2*$C$1/2))),"")</f>
        <v/>
      </c>
      <c r="D20" s="123" t="str">
        <f t="shared" si="2"/>
        <v/>
      </c>
      <c r="E20" s="123" t="str">
        <f>IF(MAX($E$4:E19)=SUM($F$4:F20),"",SUM($F$4:F20))</f>
        <v/>
      </c>
      <c r="F20" s="123" t="str">
        <f t="shared" si="3"/>
        <v/>
      </c>
    </row>
    <row r="21" spans="1:8" x14ac:dyDescent="0.25">
      <c r="A21" t="str">
        <f t="shared" si="1"/>
        <v/>
      </c>
      <c r="B21" s="122" t="str">
        <f t="shared" si="0"/>
        <v/>
      </c>
      <c r="C21" s="123" t="str">
        <f>IFERROR(IF(MAX($C$4:C20)=MIN(C20+$C$2,ABS($E$1-$C$2*$C$1/2)),"",MIN(C20+$C$2,ABS($E$1-$C$2*$C$1/2))),"")</f>
        <v/>
      </c>
      <c r="D21" s="123" t="str">
        <f t="shared" si="2"/>
        <v/>
      </c>
      <c r="E21" s="123" t="str">
        <f>IF(MAX($E$4:E20)=SUM($F$4:F21),"",SUM($F$4:F21))</f>
        <v/>
      </c>
      <c r="F21" s="123" t="str">
        <f t="shared" si="3"/>
        <v/>
      </c>
    </row>
    <row r="22" spans="1:8" x14ac:dyDescent="0.25">
      <c r="A22" t="str">
        <f t="shared" si="1"/>
        <v/>
      </c>
      <c r="B22" s="122" t="str">
        <f t="shared" si="0"/>
        <v/>
      </c>
      <c r="C22" s="123" t="str">
        <f>IFERROR(IF(MAX($C$4:C21)=MIN(C21+$C$2,ABS($E$1-$C$2*$C$1/2)),"",MIN(C21+$C$2,ABS($E$1-$C$2*$C$1/2))),"")</f>
        <v/>
      </c>
      <c r="D22" s="123" t="str">
        <f t="shared" si="2"/>
        <v/>
      </c>
      <c r="E22" s="123" t="str">
        <f>IF(MAX($E$4:E21)=SUM($F$4:F22),"",SUM($F$4:F22))</f>
        <v/>
      </c>
      <c r="F22" s="123" t="str">
        <f t="shared" si="3"/>
        <v/>
      </c>
    </row>
    <row r="23" spans="1:8" x14ac:dyDescent="0.25">
      <c r="A23" t="str">
        <f t="shared" si="1"/>
        <v/>
      </c>
      <c r="B23" s="122" t="str">
        <f t="shared" si="0"/>
        <v/>
      </c>
      <c r="C23" s="123" t="str">
        <f>IFERROR(IF(MAX($C$4:C22)=MIN(C22+$C$2,ABS($E$1-$C$2*$C$1/2)),"",MIN(C22+$C$2,ABS($E$1-$C$2*$C$1/2))),"")</f>
        <v/>
      </c>
      <c r="D23" s="123" t="str">
        <f t="shared" si="2"/>
        <v/>
      </c>
      <c r="E23" s="123" t="str">
        <f>IF(MAX($E$4:E22)=SUM($F$4:F23),"",SUM($F$4:F23))</f>
        <v/>
      </c>
      <c r="F23" s="123" t="str">
        <f t="shared" si="3"/>
        <v/>
      </c>
    </row>
    <row r="24" spans="1:8" x14ac:dyDescent="0.25">
      <c r="A24" t="str">
        <f t="shared" si="1"/>
        <v/>
      </c>
      <c r="B24" s="122" t="str">
        <f t="shared" si="0"/>
        <v/>
      </c>
      <c r="C24" s="123" t="str">
        <f>IFERROR(IF(MAX($C$4:C23)=MIN(C23+$C$2,ABS($E$1-$C$2*$C$1/2)),"",MIN(C23+$C$2,ABS($E$1-$C$2*$C$1/2))),"")</f>
        <v/>
      </c>
      <c r="D24" s="123" t="str">
        <f t="shared" si="2"/>
        <v/>
      </c>
      <c r="E24" s="123" t="str">
        <f>IF(MAX($E$4:E23)=SUM($F$4:F24),"",SUM($F$4:F24))</f>
        <v/>
      </c>
      <c r="F24" s="123" t="str">
        <f t="shared" si="3"/>
        <v/>
      </c>
    </row>
    <row r="25" spans="1:8" x14ac:dyDescent="0.25">
      <c r="A25" t="str">
        <f t="shared" si="1"/>
        <v/>
      </c>
      <c r="B25" s="122" t="str">
        <f t="shared" si="0"/>
        <v/>
      </c>
      <c r="C25" s="123" t="str">
        <f>IFERROR(IF(MAX($C$4:C24)=MIN(C24+$C$2,ABS($E$1-$C$2*$C$1/2)),"",MIN(C24+$C$2,ABS($E$1-$C$2*$C$1/2))),"")</f>
        <v/>
      </c>
      <c r="D25" s="123" t="str">
        <f t="shared" si="2"/>
        <v/>
      </c>
      <c r="E25" s="123" t="str">
        <f>IF(MAX($E$4:E24)=SUM($F$4:F25),"",SUM($F$4:F25))</f>
        <v/>
      </c>
      <c r="F25" s="123" t="str">
        <f t="shared" si="3"/>
        <v/>
      </c>
    </row>
    <row r="26" spans="1:8" x14ac:dyDescent="0.25">
      <c r="A26" t="str">
        <f t="shared" si="1"/>
        <v/>
      </c>
      <c r="B26" s="122" t="str">
        <f t="shared" si="0"/>
        <v/>
      </c>
      <c r="C26" s="123" t="str">
        <f>IFERROR(IF(MAX($C$4:C25)=MIN(C25+$C$2,ABS($E$1-$C$2*$C$1/2)),"",MIN(C25+$C$2,ABS($E$1-$C$2*$C$1/2))),"")</f>
        <v/>
      </c>
      <c r="D26" s="123" t="str">
        <f t="shared" si="2"/>
        <v/>
      </c>
      <c r="E26" s="123" t="str">
        <f>IF(MAX($E$4:E25)=SUM($F$4:F26),"",SUM($F$4:F26))</f>
        <v/>
      </c>
      <c r="F26" s="123" t="str">
        <f t="shared" si="3"/>
        <v/>
      </c>
    </row>
    <row r="27" spans="1:8" x14ac:dyDescent="0.25">
      <c r="A27" t="str">
        <f t="shared" si="1"/>
        <v/>
      </c>
      <c r="B27" s="122" t="str">
        <f t="shared" si="0"/>
        <v/>
      </c>
      <c r="C27" s="123" t="str">
        <f>IFERROR(IF(MAX($C$4:C26)=MIN(C26+$C$2,ABS($E$1-$C$2*$C$1/2)),"",MIN(C26+$C$2,ABS($E$1-$C$2*$C$1/2))),"")</f>
        <v/>
      </c>
      <c r="D27" s="123" t="str">
        <f t="shared" si="2"/>
        <v/>
      </c>
      <c r="E27" s="123" t="str">
        <f>IF(MAX($E$4:E26)=SUM($F$4:F27),"",SUM($F$4:F27))</f>
        <v/>
      </c>
      <c r="F27" s="123" t="str">
        <f t="shared" si="3"/>
        <v/>
      </c>
    </row>
    <row r="28" spans="1:8" x14ac:dyDescent="0.25">
      <c r="A28" t="str">
        <f t="shared" si="1"/>
        <v/>
      </c>
      <c r="B28" s="122" t="str">
        <f t="shared" si="0"/>
        <v/>
      </c>
      <c r="C28" s="123" t="str">
        <f>IFERROR(IF(MAX($C$4:C27)=MIN(C27+$C$2,ABS($E$1-$C$2*$C$1/2)),"",MIN(C27+$C$2,ABS($E$1-$C$2*$C$1/2))),"")</f>
        <v/>
      </c>
      <c r="D28" s="123" t="str">
        <f t="shared" si="2"/>
        <v/>
      </c>
      <c r="E28" s="123" t="str">
        <f>IF(MAX($E$4:E27)=SUM($F$4:F28),"",SUM($F$4:F28))</f>
        <v/>
      </c>
      <c r="F28" s="123" t="str">
        <f t="shared" si="3"/>
        <v/>
      </c>
    </row>
    <row r="29" spans="1:8" x14ac:dyDescent="0.25">
      <c r="A29" t="str">
        <f t="shared" si="1"/>
        <v/>
      </c>
      <c r="B29" s="122" t="str">
        <f t="shared" si="0"/>
        <v/>
      </c>
      <c r="C29" s="123" t="str">
        <f>IFERROR(IF(MAX($C$4:C28)=MIN(C28+$C$2,ABS($E$1-$C$2*$C$1/2)),"",MIN(C28+$C$2,ABS($E$1-$C$2*$C$1/2))),"")</f>
        <v/>
      </c>
      <c r="D29" s="123" t="str">
        <f t="shared" si="2"/>
        <v/>
      </c>
      <c r="E29" s="123" t="str">
        <f>IF(MAX($E$4:E28)=SUM($F$4:F29),"",SUM($F$4:F29))</f>
        <v/>
      </c>
      <c r="F29" s="123" t="str">
        <f t="shared" si="3"/>
        <v/>
      </c>
    </row>
    <row r="30" spans="1:8" x14ac:dyDescent="0.25">
      <c r="A30" t="str">
        <f t="shared" si="1"/>
        <v/>
      </c>
      <c r="B30" s="122" t="str">
        <f t="shared" si="0"/>
        <v/>
      </c>
      <c r="C30" s="123" t="str">
        <f>IFERROR(IF(MAX($C$4:C29)=MIN(C29+$C$2,ABS($E$1-$C$2*$C$1/2)),"",MIN(C29+$C$2,ABS($E$1-$C$2*$C$1/2))),"")</f>
        <v/>
      </c>
      <c r="D30" s="123" t="str">
        <f t="shared" si="2"/>
        <v/>
      </c>
      <c r="E30" s="123" t="str">
        <f>IF(MAX($E$4:E29)=SUM($F$4:F30),"",SUM($F$4:F30))</f>
        <v/>
      </c>
      <c r="F30" s="123" t="str">
        <f t="shared" si="3"/>
        <v/>
      </c>
    </row>
    <row r="31" spans="1:8" x14ac:dyDescent="0.25">
      <c r="A31" t="str">
        <f t="shared" si="1"/>
        <v/>
      </c>
      <c r="B31" s="122" t="str">
        <f t="shared" si="0"/>
        <v/>
      </c>
      <c r="C31" s="123" t="str">
        <f>IFERROR(IF(MAX($C$4:C30)=MIN(C30+$C$2,ABS($E$1-$C$2*$C$1/2)),"",MIN(C30+$C$2,ABS($E$1-$C$2*$C$1/2))),"")</f>
        <v/>
      </c>
      <c r="D31" s="123" t="str">
        <f t="shared" si="2"/>
        <v/>
      </c>
      <c r="E31" s="123" t="str">
        <f>IF(MAX($E$4:E30)=SUM($F$4:F31),"",SUM($F$4:F31))</f>
        <v/>
      </c>
      <c r="F31" s="123" t="str">
        <f t="shared" si="3"/>
        <v/>
      </c>
    </row>
    <row r="32" spans="1:8" x14ac:dyDescent="0.25">
      <c r="A32" t="str">
        <f t="shared" si="1"/>
        <v/>
      </c>
      <c r="B32" s="122" t="str">
        <f t="shared" si="0"/>
        <v/>
      </c>
      <c r="C32" s="123" t="str">
        <f>IFERROR(IF(MAX($C$4:C31)=MIN(C31+$C$2,ABS($E$1-$C$2*$C$1/2)),"",MIN(C31+$C$2,ABS($E$1-$C$2*$C$1/2))),"")</f>
        <v/>
      </c>
      <c r="D32" s="123" t="str">
        <f t="shared" si="2"/>
        <v/>
      </c>
      <c r="E32" s="123" t="str">
        <f>IF(MAX($E$4:E31)=SUM($F$4:F32),"",SUM($F$4:F32))</f>
        <v/>
      </c>
      <c r="F32" s="123" t="str">
        <f t="shared" si="3"/>
        <v/>
      </c>
    </row>
    <row r="33" spans="1:6" x14ac:dyDescent="0.25">
      <c r="A33" t="str">
        <f t="shared" si="1"/>
        <v/>
      </c>
      <c r="B33" s="122" t="str">
        <f t="shared" si="0"/>
        <v/>
      </c>
      <c r="C33" s="123" t="str">
        <f>IFERROR(IF(MAX($C$4:C32)=MIN(C32+$C$2,ABS($E$1-$C$2*$C$1/2)),"",MIN(C32+$C$2,ABS($E$1-$C$2*$C$1/2))),"")</f>
        <v/>
      </c>
      <c r="D33" s="123" t="str">
        <f t="shared" si="2"/>
        <v/>
      </c>
      <c r="E33" s="123" t="str">
        <f>IF(MAX($E$4:E32)=SUM($F$4:F33),"",SUM($F$4:F33))</f>
        <v/>
      </c>
      <c r="F33" s="123" t="str">
        <f t="shared" si="3"/>
        <v/>
      </c>
    </row>
    <row r="34" spans="1:6" x14ac:dyDescent="0.25">
      <c r="A34" t="str">
        <f t="shared" si="1"/>
        <v/>
      </c>
      <c r="B34" s="122" t="str">
        <f t="shared" si="0"/>
        <v/>
      </c>
      <c r="C34" s="123" t="str">
        <f>IFERROR(IF(MAX($C$4:C33)=MIN(C33+$C$2,ABS($E$1-$C$2*$C$1/2)),"",MIN(C33+$C$2,ABS($E$1-$C$2*$C$1/2))),"")</f>
        <v/>
      </c>
      <c r="D34" s="123" t="str">
        <f t="shared" si="2"/>
        <v/>
      </c>
      <c r="E34" s="123" t="str">
        <f>IF(MAX($E$4:E33)=SUM($F$4:F34),"",SUM($F$4:F34))</f>
        <v/>
      </c>
      <c r="F34" s="123" t="str">
        <f t="shared" si="3"/>
        <v/>
      </c>
    </row>
    <row r="35" spans="1:6" x14ac:dyDescent="0.25">
      <c r="A35" t="str">
        <f t="shared" si="1"/>
        <v/>
      </c>
      <c r="B35" s="122" t="str">
        <f t="shared" si="0"/>
        <v/>
      </c>
      <c r="C35" s="123" t="str">
        <f>IFERROR(IF(MAX($C$4:C34)=MIN(C34+$C$2,ABS($E$1-$C$2*$C$1/2)),"",MIN(C34+$C$2,ABS($E$1-$C$2*$C$1/2))),"")</f>
        <v/>
      </c>
      <c r="D35" s="123" t="str">
        <f t="shared" si="2"/>
        <v/>
      </c>
      <c r="E35" s="123" t="str">
        <f>IF(MAX($E$4:E34)=SUM($F$4:F35),"",SUM($F$4:F35))</f>
        <v/>
      </c>
      <c r="F35" s="123" t="str">
        <f t="shared" si="3"/>
        <v/>
      </c>
    </row>
    <row r="36" spans="1:6" x14ac:dyDescent="0.25">
      <c r="A36" t="str">
        <f t="shared" si="1"/>
        <v/>
      </c>
      <c r="B36" s="122" t="str">
        <f t="shared" si="0"/>
        <v/>
      </c>
      <c r="C36" s="123" t="str">
        <f>IFERROR(IF(MAX($C$4:C35)=MIN(C35+$C$2,ABS($E$1-$C$2*$C$1/2)),"",MIN(C35+$C$2,ABS($E$1-$C$2*$C$1/2))),"")</f>
        <v/>
      </c>
      <c r="D36" s="123" t="str">
        <f t="shared" si="2"/>
        <v/>
      </c>
      <c r="E36" s="123" t="str">
        <f>IF(MAX($E$4:E35)=SUM($F$4:F36),"",SUM($F$4:F36))</f>
        <v/>
      </c>
      <c r="F36" s="123" t="str">
        <f t="shared" si="3"/>
        <v/>
      </c>
    </row>
    <row r="37" spans="1:6" x14ac:dyDescent="0.25">
      <c r="A37" t="str">
        <f t="shared" si="1"/>
        <v/>
      </c>
      <c r="B37" s="122" t="str">
        <f t="shared" si="0"/>
        <v/>
      </c>
      <c r="C37" s="123" t="str">
        <f>IFERROR(IF(MAX($C$4:C36)=MIN(C36+$C$2,ABS($E$1-$C$2*$C$1/2)),"",MIN(C36+$C$2,ABS($E$1-$C$2*$C$1/2))),"")</f>
        <v/>
      </c>
      <c r="D37" s="123" t="str">
        <f t="shared" si="2"/>
        <v/>
      </c>
      <c r="E37" s="123" t="str">
        <f>IF(MAX($E$4:E36)=SUM($F$4:F37),"",SUM($F$4:F37))</f>
        <v/>
      </c>
      <c r="F37" s="123" t="str">
        <f t="shared" si="3"/>
        <v/>
      </c>
    </row>
    <row r="38" spans="1:6" x14ac:dyDescent="0.25">
      <c r="A38" t="str">
        <f t="shared" si="1"/>
        <v/>
      </c>
      <c r="B38" s="122" t="str">
        <f t="shared" si="0"/>
        <v/>
      </c>
      <c r="C38" s="123" t="str">
        <f>IFERROR(IF(MAX($C$4:C37)=MIN(C37+$C$2,ABS($E$1-$C$2*$C$1/2)),"",MIN(C37+$C$2,ABS($E$1-$C$2*$C$1/2))),"")</f>
        <v/>
      </c>
      <c r="D38" s="123" t="str">
        <f t="shared" si="2"/>
        <v/>
      </c>
      <c r="E38" s="123" t="str">
        <f>IF(MAX($E$4:E37)=SUM($F$4:F38),"",SUM($F$4:F38))</f>
        <v/>
      </c>
      <c r="F38" s="123" t="str">
        <f t="shared" si="3"/>
        <v/>
      </c>
    </row>
    <row r="39" spans="1:6" x14ac:dyDescent="0.25">
      <c r="A39" t="str">
        <f t="shared" si="1"/>
        <v/>
      </c>
      <c r="B39" s="122" t="str">
        <f t="shared" si="0"/>
        <v/>
      </c>
      <c r="C39" s="123" t="str">
        <f>IFERROR(IF(MAX($C$4:C38)=MIN(C38+$C$2,ABS($E$1-$C$2*$C$1/2)),"",MIN(C38+$C$2,ABS($E$1-$C$2*$C$1/2))),"")</f>
        <v/>
      </c>
      <c r="D39" s="123" t="str">
        <f t="shared" si="2"/>
        <v/>
      </c>
      <c r="E39" s="123" t="str">
        <f>IF(MAX($E$4:E38)=SUM($F$4:F39),"",SUM($F$4:F39))</f>
        <v/>
      </c>
      <c r="F39" s="123" t="str">
        <f t="shared" si="3"/>
        <v/>
      </c>
    </row>
    <row r="40" spans="1:6" x14ac:dyDescent="0.25">
      <c r="A40" t="str">
        <f t="shared" si="1"/>
        <v/>
      </c>
      <c r="B40" s="122" t="str">
        <f t="shared" si="0"/>
        <v/>
      </c>
      <c r="C40" s="123" t="str">
        <f>IFERROR(IF(MAX($C$4:C39)=MIN(C39+$C$2,ABS($E$1-$C$2*$C$1/2)),"",MIN(C39+$C$2,ABS($E$1-$C$2*$C$1/2))),"")</f>
        <v/>
      </c>
      <c r="D40" s="123" t="str">
        <f t="shared" si="2"/>
        <v/>
      </c>
      <c r="E40" s="123" t="str">
        <f>IF(MAX($E$4:E39)=SUM($F$4:F40),"",SUM($F$4:F40))</f>
        <v/>
      </c>
      <c r="F40" s="123" t="str">
        <f t="shared" si="3"/>
        <v/>
      </c>
    </row>
    <row r="41" spans="1:6" x14ac:dyDescent="0.25">
      <c r="A41" t="str">
        <f t="shared" si="1"/>
        <v/>
      </c>
      <c r="B41" s="122" t="str">
        <f t="shared" si="0"/>
        <v/>
      </c>
      <c r="C41" s="123" t="str">
        <f>IFERROR(IF(MAX($C$4:C40)=MIN(C40+$C$2,ABS($E$1-$C$2*$C$1/2)),"",MIN(C40+$C$2,ABS($E$1-$C$2*$C$1/2))),"")</f>
        <v/>
      </c>
      <c r="D41" s="123" t="str">
        <f t="shared" si="2"/>
        <v/>
      </c>
      <c r="E41" s="123" t="str">
        <f>IF(MAX($E$4:E40)=SUM($F$4:F41),"",SUM($F$4:F41))</f>
        <v/>
      </c>
      <c r="F41" s="123" t="str">
        <f t="shared" si="3"/>
        <v/>
      </c>
    </row>
    <row r="42" spans="1:6" x14ac:dyDescent="0.25">
      <c r="A42" t="str">
        <f t="shared" si="1"/>
        <v/>
      </c>
      <c r="B42" s="122" t="str">
        <f t="shared" si="0"/>
        <v/>
      </c>
      <c r="C42" s="123" t="str">
        <f>IFERROR(IF(MAX($C$4:C41)=MIN(C41+$C$2,ABS($E$1-$C$2*$C$1/2)),"",MIN(C41+$C$2,ABS($E$1-$C$2*$C$1/2))),"")</f>
        <v/>
      </c>
      <c r="D42" s="123" t="str">
        <f t="shared" si="2"/>
        <v/>
      </c>
      <c r="E42" s="123" t="str">
        <f>IF(MAX($E$4:E41)=SUM($F$4:F42),"",SUM($F$4:F42))</f>
        <v/>
      </c>
      <c r="F42" s="123" t="str">
        <f t="shared" si="3"/>
        <v/>
      </c>
    </row>
    <row r="43" spans="1:6" x14ac:dyDescent="0.25">
      <c r="A43" t="str">
        <f t="shared" si="1"/>
        <v/>
      </c>
      <c r="B43" s="122" t="str">
        <f t="shared" si="0"/>
        <v/>
      </c>
      <c r="C43" s="123" t="str">
        <f>IFERROR(IF(MAX($C$4:C42)=MIN(C42+$C$2,ABS($E$1-$C$2*$C$1/2)),"",MIN(C42+$C$2,ABS($E$1-$C$2*$C$1/2))),"")</f>
        <v/>
      </c>
      <c r="D43" s="123" t="str">
        <f t="shared" si="2"/>
        <v/>
      </c>
      <c r="E43" s="123" t="str">
        <f>IF(MAX($E$4:E42)=SUM($F$4:F43),"",SUM($F$4:F43))</f>
        <v/>
      </c>
      <c r="F43" s="123" t="str">
        <f t="shared" si="3"/>
        <v/>
      </c>
    </row>
    <row r="44" spans="1:6" x14ac:dyDescent="0.25">
      <c r="A44" t="str">
        <f t="shared" si="1"/>
        <v/>
      </c>
      <c r="B44" s="122" t="str">
        <f t="shared" si="0"/>
        <v/>
      </c>
      <c r="C44" s="123" t="str">
        <f>IFERROR(IF(MAX($C$4:C43)=MIN(C43+$C$2,ABS($E$1-$C$2*$C$1/2)),"",MIN(C43+$C$2,ABS($E$1-$C$2*$C$1/2))),"")</f>
        <v/>
      </c>
      <c r="D44" s="123" t="str">
        <f t="shared" si="2"/>
        <v/>
      </c>
      <c r="E44" s="123" t="str">
        <f>IF(MAX($E$4:E43)=SUM($F$4:F44),"",SUM($F$4:F44))</f>
        <v/>
      </c>
      <c r="F44" s="123" t="str">
        <f t="shared" si="3"/>
        <v/>
      </c>
    </row>
    <row r="45" spans="1:6" x14ac:dyDescent="0.25">
      <c r="A45" t="str">
        <f t="shared" si="1"/>
        <v/>
      </c>
      <c r="B45" s="122" t="str">
        <f t="shared" si="0"/>
        <v/>
      </c>
      <c r="C45" s="123" t="str">
        <f>IFERROR(IF(MAX($C$4:C44)=MIN(C44+$C$2,ABS($E$1-$C$2*$C$1/2)),"",MIN(C44+$C$2,ABS($E$1-$C$2*$C$1/2))),"")</f>
        <v/>
      </c>
      <c r="D45" s="123" t="str">
        <f t="shared" si="2"/>
        <v/>
      </c>
      <c r="E45" s="123" t="str">
        <f>IF(MAX($E$4:E44)=SUM($F$4:F45),"",SUM($F$4:F45))</f>
        <v/>
      </c>
      <c r="F45" s="123" t="str">
        <f t="shared" si="3"/>
        <v/>
      </c>
    </row>
    <row r="46" spans="1:6" x14ac:dyDescent="0.25">
      <c r="A46" t="str">
        <f t="shared" si="1"/>
        <v/>
      </c>
      <c r="B46" s="122" t="str">
        <f t="shared" si="0"/>
        <v/>
      </c>
      <c r="C46" s="123" t="str">
        <f>IFERROR(IF(MAX($C$4:C45)=MIN(C45+$C$2,ABS($E$1-$C$2*$C$1/2)),"",MIN(C45+$C$2,ABS($E$1-$C$2*$C$1/2))),"")</f>
        <v/>
      </c>
      <c r="D46" s="123" t="str">
        <f t="shared" si="2"/>
        <v/>
      </c>
      <c r="E46" s="123" t="str">
        <f>IF(MAX($E$4:E45)=SUM($F$4:F46),"",SUM($F$4:F46))</f>
        <v/>
      </c>
      <c r="F46" s="123" t="str">
        <f t="shared" si="3"/>
        <v/>
      </c>
    </row>
    <row r="47" spans="1:6" x14ac:dyDescent="0.25">
      <c r="A47" t="str">
        <f t="shared" si="1"/>
        <v/>
      </c>
      <c r="B47" s="122" t="str">
        <f t="shared" si="0"/>
        <v/>
      </c>
      <c r="C47" s="123" t="str">
        <f>IFERROR(IF(MAX($C$4:C46)=MIN(C46+$C$2,ABS($E$1-$C$2*$C$1/2)),"",MIN(C46+$C$2,ABS($E$1-$C$2*$C$1/2))),"")</f>
        <v/>
      </c>
      <c r="D47" s="123" t="str">
        <f t="shared" si="2"/>
        <v/>
      </c>
      <c r="E47" s="123" t="str">
        <f>IF(MAX($E$4:E46)=SUM($F$4:F47),"",SUM($F$4:F47))</f>
        <v/>
      </c>
      <c r="F47" s="123" t="str">
        <f t="shared" si="3"/>
        <v/>
      </c>
    </row>
    <row r="48" spans="1:6" x14ac:dyDescent="0.25">
      <c r="A48" t="str">
        <f t="shared" si="1"/>
        <v/>
      </c>
      <c r="B48" s="122" t="str">
        <f t="shared" si="0"/>
        <v/>
      </c>
      <c r="C48" s="123" t="str">
        <f>IFERROR(IF(MAX($C$4:C47)=MIN(C47+$C$2,ABS($E$1-$C$2*$C$1/2)),"",MIN(C47+$C$2,ABS($E$1-$C$2*$C$1/2))),"")</f>
        <v/>
      </c>
      <c r="D48" s="123" t="str">
        <f t="shared" si="2"/>
        <v/>
      </c>
      <c r="E48" s="123" t="str">
        <f>IF(MAX($E$4:E47)=SUM($F$4:F48),"",SUM($F$4:F48))</f>
        <v/>
      </c>
      <c r="F48" s="123" t="str">
        <f t="shared" si="3"/>
        <v/>
      </c>
    </row>
    <row r="49" spans="1:6" x14ac:dyDescent="0.25">
      <c r="A49" t="str">
        <f t="shared" si="1"/>
        <v/>
      </c>
      <c r="B49" s="122" t="str">
        <f t="shared" si="0"/>
        <v/>
      </c>
      <c r="C49" s="123" t="str">
        <f>IFERROR(IF(MAX($C$4:C48)=MIN(C48+$C$2,ABS($E$1-$C$2*$C$1/2)),"",MIN(C48+$C$2,ABS($E$1-$C$2*$C$1/2))),"")</f>
        <v/>
      </c>
      <c r="D49" s="123" t="str">
        <f t="shared" si="2"/>
        <v/>
      </c>
      <c r="E49" s="123" t="str">
        <f>IF(MAX($E$4:E48)=SUM($F$4:F49),"",SUM($F$4:F49))</f>
        <v/>
      </c>
      <c r="F49" s="123" t="str">
        <f t="shared" si="3"/>
        <v/>
      </c>
    </row>
    <row r="50" spans="1:6" x14ac:dyDescent="0.25">
      <c r="A50" t="str">
        <f t="shared" si="1"/>
        <v/>
      </c>
      <c r="B50" s="122" t="str">
        <f t="shared" si="0"/>
        <v/>
      </c>
      <c r="C50" s="123" t="str">
        <f>IFERROR(IF(MAX($C$4:C49)=MIN(C49+$C$2,ABS($E$1-$C$2*$C$1/2)),"",MIN(C49+$C$2,ABS($E$1-$C$2*$C$1/2))),"")</f>
        <v/>
      </c>
      <c r="D50" s="123" t="str">
        <f t="shared" si="2"/>
        <v/>
      </c>
      <c r="E50" s="123" t="str">
        <f>IF(MAX($E$4:E49)=SUM($F$4:F50),"",SUM($F$4:F50))</f>
        <v/>
      </c>
      <c r="F50" s="123" t="str">
        <f t="shared" si="3"/>
        <v/>
      </c>
    </row>
    <row r="51" spans="1:6" x14ac:dyDescent="0.25">
      <c r="A51" t="str">
        <f t="shared" si="1"/>
        <v/>
      </c>
      <c r="B51" s="122" t="str">
        <f t="shared" si="0"/>
        <v/>
      </c>
      <c r="C51" s="123" t="str">
        <f>IFERROR(IF(MAX($C$4:C50)=MIN(C50+$C$2,ABS($E$1-$C$2*$C$1/2)),"",MIN(C50+$C$2,ABS($E$1-$C$2*$C$1/2))),"")</f>
        <v/>
      </c>
      <c r="D51" s="123" t="str">
        <f t="shared" si="2"/>
        <v/>
      </c>
      <c r="E51" s="123" t="str">
        <f>IF(MAX($E$4:E50)=SUM($F$4:F51),"",SUM($F$4:F51))</f>
        <v/>
      </c>
      <c r="F51" s="123" t="str">
        <f t="shared" si="3"/>
        <v/>
      </c>
    </row>
    <row r="52" spans="1:6" x14ac:dyDescent="0.25">
      <c r="A52" t="str">
        <f t="shared" si="1"/>
        <v/>
      </c>
      <c r="B52" s="122" t="str">
        <f t="shared" si="0"/>
        <v/>
      </c>
      <c r="C52" s="123" t="str">
        <f>IFERROR(IF(MAX($C$4:C51)=MIN(C51+$C$2,ABS($E$1-$C$2*$C$1/2)),"",MIN(C51+$C$2,ABS($E$1-$C$2*$C$1/2))),"")</f>
        <v/>
      </c>
      <c r="D52" s="123" t="str">
        <f t="shared" si="2"/>
        <v/>
      </c>
      <c r="E52" s="123" t="str">
        <f>IF(MAX($E$4:E51)=SUM($F$4:F52),"",SUM($F$4:F52))</f>
        <v/>
      </c>
      <c r="F52" s="123" t="str">
        <f t="shared" si="3"/>
        <v/>
      </c>
    </row>
    <row r="53" spans="1:6" x14ac:dyDescent="0.25">
      <c r="A53" t="str">
        <f t="shared" si="1"/>
        <v/>
      </c>
      <c r="B53" s="124" t="str">
        <f t="shared" si="0"/>
        <v/>
      </c>
      <c r="C53" s="125" t="str">
        <f>IFERROR(IF(MAX($C$4:C52)=MIN(C52+$C$2,ABS($E$1-$C$2*$C$1/2)),"",MIN(C52+$C$2,ABS($E$1-$C$2*$C$1/2))),"")</f>
        <v/>
      </c>
      <c r="D53" s="125" t="str">
        <f t="shared" si="2"/>
        <v/>
      </c>
      <c r="E53" s="125" t="str">
        <f>IF(MAX($E$4:E52)=SUM($F$4:F53),"",SUM($F$4:F53))</f>
        <v/>
      </c>
      <c r="F53" s="125" t="str">
        <f t="shared" si="3"/>
        <v/>
      </c>
    </row>
    <row r="55" spans="1:6" x14ac:dyDescent="0.25">
      <c r="B55" t="s">
        <v>0</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BECB1F-7394-426C-9DE8-F3EF246560E1}">
  <sheetPr codeName="Sheet5"/>
  <dimension ref="A1:I55"/>
  <sheetViews>
    <sheetView showGridLines="0" workbookViewId="0"/>
  </sheetViews>
  <sheetFormatPr defaultRowHeight="15" x14ac:dyDescent="0.25"/>
  <cols>
    <col min="1" max="1" width="3.28515625" customWidth="1"/>
    <col min="4" max="4" width="12.28515625" customWidth="1"/>
    <col min="5" max="5" width="11.42578125" customWidth="1"/>
    <col min="6" max="6" width="11.28515625" customWidth="1"/>
  </cols>
  <sheetData>
    <row r="1" spans="1:9" x14ac:dyDescent="0.25">
      <c r="B1" s="116" t="s">
        <v>165</v>
      </c>
      <c r="C1" s="117">
        <v>11</v>
      </c>
      <c r="D1" s="116" t="s">
        <v>174</v>
      </c>
      <c r="E1" s="117">
        <v>0</v>
      </c>
      <c r="I1" s="1" t="s">
        <v>175</v>
      </c>
    </row>
    <row r="2" spans="1:9" x14ac:dyDescent="0.25">
      <c r="B2" s="116" t="s">
        <v>167</v>
      </c>
      <c r="C2" s="117">
        <v>1</v>
      </c>
      <c r="D2" s="116" t="s">
        <v>176</v>
      </c>
      <c r="E2" s="117">
        <v>10</v>
      </c>
      <c r="F2" s="118" t="s">
        <v>177</v>
      </c>
      <c r="G2" s="117">
        <v>0.5</v>
      </c>
    </row>
    <row r="3" spans="1:9" x14ac:dyDescent="0.25">
      <c r="B3" s="119" t="s">
        <v>171</v>
      </c>
      <c r="C3" s="119" t="s">
        <v>170</v>
      </c>
      <c r="D3" s="119" t="s">
        <v>178</v>
      </c>
      <c r="E3" s="119" t="s">
        <v>173</v>
      </c>
      <c r="F3" s="119" t="s">
        <v>179</v>
      </c>
    </row>
    <row r="4" spans="1:9" x14ac:dyDescent="0.25">
      <c r="B4" s="120">
        <f t="shared" ref="B4:B53" si="0">IFERROR($E$2/(1+EXP(-$G$2*(C4-$E$1))),"")</f>
        <v>0.60086650174007628</v>
      </c>
      <c r="C4" s="120">
        <f>$E$1-$C$2*$C$1/2</f>
        <v>-5.5</v>
      </c>
      <c r="D4" s="120">
        <f>IFERROR(B4-0,"")</f>
        <v>0.60086650174007628</v>
      </c>
      <c r="E4" s="120"/>
      <c r="F4" s="120"/>
    </row>
    <row r="5" spans="1:9" x14ac:dyDescent="0.25">
      <c r="A5" t="str">
        <f>IFERROR(IF(ROUND(B5-B4,2)&lt;&gt;ROUND(D5,2),"ERROR",""),"")</f>
        <v/>
      </c>
      <c r="B5" s="122">
        <f t="shared" si="0"/>
        <v>0.95349464899109493</v>
      </c>
      <c r="C5" s="122">
        <f>IFERROR(IF(MAX($C$4:C4)=MIN(C4+$C$2,ABS($E$1-$C$2*$C$1/2)),"",MIN(C4+$C$2,ABS($E$1-$C$2*$C$1/2))),"")</f>
        <v>-4.5</v>
      </c>
      <c r="D5" s="122">
        <f>IFERROR(B5-B4,"")</f>
        <v>0.35262814725101865</v>
      </c>
      <c r="E5" s="122">
        <f>IF(MAX($E$4:E4)=SUM($F$4:F5),"",SUM($F$4:F5))</f>
        <v>0.40079273269440524</v>
      </c>
      <c r="F5" s="122">
        <f t="shared" ref="F5:F53" si="1">IFERROR((B5-B4)*$E$2/(MAX($B$4:$B$53)-$B$4),"")</f>
        <v>0.40079273269440524</v>
      </c>
    </row>
    <row r="6" spans="1:9" x14ac:dyDescent="0.25">
      <c r="A6" t="str">
        <f t="shared" ref="A6:A53" si="2">IFERROR(IF(ROUND(B6-B5,2)&lt;&gt;ROUND(D6,2),"ERROR",""),"")</f>
        <v/>
      </c>
      <c r="B6" s="122">
        <f t="shared" si="0"/>
        <v>1.4804719803168946</v>
      </c>
      <c r="C6" s="122">
        <f>IFERROR(IF(MAX($C$4:C5)=MIN(C5+$C$2,ABS($E$1-$C$2*$C$1/2)),"",MIN(C5+$C$2,ABS($E$1-$C$2*$C$1/2))),"")</f>
        <v>-3.5</v>
      </c>
      <c r="D6" s="122">
        <f t="shared" ref="D6:D53" si="3">IFERROR(B6-B5,"")</f>
        <v>0.52697733132579971</v>
      </c>
      <c r="E6" s="122">
        <f>IF(MAX($E$4:E5)=SUM($F$4:F6),"",SUM($F$4:F6))</f>
        <v>0.99974856289851877</v>
      </c>
      <c r="F6" s="122">
        <f t="shared" si="1"/>
        <v>0.59895583020411358</v>
      </c>
    </row>
    <row r="7" spans="1:9" x14ac:dyDescent="0.25">
      <c r="A7" t="str">
        <f t="shared" si="2"/>
        <v/>
      </c>
      <c r="B7" s="122">
        <f t="shared" si="0"/>
        <v>2.2270013882530884</v>
      </c>
      <c r="C7" s="122">
        <f>IFERROR(IF(MAX($C$4:C6)=MIN(C6+$C$2,ABS($E$1-$C$2*$C$1/2)),"",MIN(C6+$C$2,ABS($E$1-$C$2*$C$1/2))),"")</f>
        <v>-2.5</v>
      </c>
      <c r="D7" s="122">
        <f t="shared" si="3"/>
        <v>0.74652940793619371</v>
      </c>
      <c r="E7" s="122">
        <f>IF(MAX($E$4:E6)=SUM($F$4:F7),"",SUM($F$4:F7))</f>
        <v>1.8482445317427052</v>
      </c>
      <c r="F7" s="122">
        <f t="shared" si="1"/>
        <v>0.84849596884418643</v>
      </c>
    </row>
    <row r="8" spans="1:9" x14ac:dyDescent="0.25">
      <c r="A8" t="str">
        <f t="shared" si="2"/>
        <v/>
      </c>
      <c r="B8" s="122">
        <f t="shared" si="0"/>
        <v>3.2082130082460703</v>
      </c>
      <c r="C8" s="122">
        <f>IFERROR(IF(MAX($C$4:C7)=MIN(C7+$C$2,ABS($E$1-$C$2*$C$1/2)),"",MIN(C7+$C$2,ABS($E$1-$C$2*$C$1/2))),"")</f>
        <v>-1.5</v>
      </c>
      <c r="D8" s="122">
        <f t="shared" si="3"/>
        <v>0.9812116199929819</v>
      </c>
      <c r="E8" s="122">
        <f>IF(MAX($E$4:E7)=SUM($F$4:F8),"",SUM($F$4:F8))</f>
        <v>2.963477361550098</v>
      </c>
      <c r="F8" s="122">
        <f t="shared" si="1"/>
        <v>1.1152328298073928</v>
      </c>
    </row>
    <row r="9" spans="1:9" x14ac:dyDescent="0.25">
      <c r="A9" t="str">
        <f t="shared" si="2"/>
        <v/>
      </c>
      <c r="B9" s="122">
        <f t="shared" si="0"/>
        <v>4.3782349911420191</v>
      </c>
      <c r="C9" s="122">
        <f>IFERROR(IF(MAX($C$4:C8)=MIN(C8+$C$2,ABS($E$1-$C$2*$C$1/2)),"",MIN(C8+$C$2,ABS($E$1-$C$2*$C$1/2))),"")</f>
        <v>-0.5</v>
      </c>
      <c r="D9" s="122">
        <f t="shared" si="3"/>
        <v>1.1700219828959488</v>
      </c>
      <c r="E9" s="122">
        <f>IF(MAX($E$4:E8)=SUM($F$4:F9),"",SUM($F$4:F9))</f>
        <v>4.293309683482077</v>
      </c>
      <c r="F9" s="122">
        <f t="shared" si="1"/>
        <v>1.3298323219319792</v>
      </c>
    </row>
    <row r="10" spans="1:9" x14ac:dyDescent="0.25">
      <c r="A10" t="str">
        <f t="shared" si="2"/>
        <v/>
      </c>
      <c r="B10" s="122">
        <f t="shared" si="0"/>
        <v>5.6217650088579809</v>
      </c>
      <c r="C10" s="122">
        <f>IFERROR(IF(MAX($C$4:C9)=MIN(C9+$C$2,ABS($E$1-$C$2*$C$1/2)),"",MIN(C9+$C$2,ABS($E$1-$C$2*$C$1/2))),"")</f>
        <v>0.5</v>
      </c>
      <c r="D10" s="122">
        <f t="shared" si="3"/>
        <v>1.2435300177159618</v>
      </c>
      <c r="E10" s="122">
        <f>IF(MAX($E$4:E9)=SUM($F$4:F10),"",SUM($F$4:F10))</f>
        <v>5.7066903165179239</v>
      </c>
      <c r="F10" s="122">
        <f t="shared" si="1"/>
        <v>1.4133806330358467</v>
      </c>
    </row>
    <row r="11" spans="1:9" x14ac:dyDescent="0.25">
      <c r="A11" t="str">
        <f t="shared" si="2"/>
        <v/>
      </c>
      <c r="B11" s="122">
        <f t="shared" si="0"/>
        <v>6.7917869917539289</v>
      </c>
      <c r="C11" s="122">
        <f>IFERROR(IF(MAX($C$4:C10)=MIN(C10+$C$2,ABS($E$1-$C$2*$C$1/2)),"",MIN(C10+$C$2,ABS($E$1-$C$2*$C$1/2))),"")</f>
        <v>1.5</v>
      </c>
      <c r="D11" s="122">
        <f t="shared" si="3"/>
        <v>1.1700219828959479</v>
      </c>
      <c r="E11" s="122">
        <f>IF(MAX($E$4:E10)=SUM($F$4:F11),"",SUM($F$4:F11))</f>
        <v>7.0365226384499024</v>
      </c>
      <c r="F11" s="122">
        <f t="shared" si="1"/>
        <v>1.3298323219319783</v>
      </c>
    </row>
    <row r="12" spans="1:9" x14ac:dyDescent="0.25">
      <c r="A12" t="str">
        <f t="shared" si="2"/>
        <v/>
      </c>
      <c r="B12" s="122">
        <f t="shared" si="0"/>
        <v>7.7729986117469112</v>
      </c>
      <c r="C12" s="122">
        <f>IFERROR(IF(MAX($C$4:C11)=MIN(C11+$C$2,ABS($E$1-$C$2*$C$1/2)),"",MIN(C11+$C$2,ABS($E$1-$C$2*$C$1/2))),"")</f>
        <v>2.5</v>
      </c>
      <c r="D12" s="122">
        <f t="shared" si="3"/>
        <v>0.98121161999298234</v>
      </c>
      <c r="E12" s="122">
        <f>IF(MAX($E$4:E11)=SUM($F$4:F12),"",SUM($F$4:F12))</f>
        <v>8.1517554682572957</v>
      </c>
      <c r="F12" s="122">
        <f t="shared" si="1"/>
        <v>1.1152328298073932</v>
      </c>
    </row>
    <row r="13" spans="1:9" x14ac:dyDescent="0.25">
      <c r="A13" t="str">
        <f t="shared" si="2"/>
        <v/>
      </c>
      <c r="B13" s="122">
        <f t="shared" si="0"/>
        <v>8.519528019683106</v>
      </c>
      <c r="C13" s="122">
        <f>IFERROR(IF(MAX($C$4:C12)=MIN(C12+$C$2,ABS($E$1-$C$2*$C$1/2)),"",MIN(C12+$C$2,ABS($E$1-$C$2*$C$1/2))),"")</f>
        <v>3.5</v>
      </c>
      <c r="D13" s="122">
        <f t="shared" si="3"/>
        <v>0.74652940793619482</v>
      </c>
      <c r="E13" s="122">
        <f>IF(MAX($E$4:E12)=SUM($F$4:F13),"",SUM($F$4:F13))</f>
        <v>9.0002514371014826</v>
      </c>
      <c r="F13" s="122">
        <f t="shared" si="1"/>
        <v>0.84849596884418765</v>
      </c>
    </row>
    <row r="14" spans="1:9" x14ac:dyDescent="0.25">
      <c r="A14" t="str">
        <f t="shared" si="2"/>
        <v/>
      </c>
      <c r="B14" s="122">
        <f t="shared" si="0"/>
        <v>9.0465053510089053</v>
      </c>
      <c r="C14" s="122">
        <f>IFERROR(IF(MAX($C$4:C13)=MIN(C13+$C$2,ABS($E$1-$C$2*$C$1/2)),"",MIN(C13+$C$2,ABS($E$1-$C$2*$C$1/2))),"")</f>
        <v>4.5</v>
      </c>
      <c r="D14" s="122">
        <f t="shared" si="3"/>
        <v>0.52697733132579927</v>
      </c>
      <c r="E14" s="122">
        <f>IF(MAX($E$4:E13)=SUM($F$4:F14),"",SUM($F$4:F14))</f>
        <v>9.5992072673055961</v>
      </c>
      <c r="F14" s="122">
        <f t="shared" si="1"/>
        <v>0.59895583020411303</v>
      </c>
    </row>
    <row r="15" spans="1:9" x14ac:dyDescent="0.25">
      <c r="A15" t="str">
        <f t="shared" si="2"/>
        <v/>
      </c>
      <c r="B15" s="122">
        <f t="shared" si="0"/>
        <v>9.3991334982599231</v>
      </c>
      <c r="C15" s="122">
        <f>IFERROR(IF(MAX($C$4:C14)=MIN(C14+$C$2,ABS($E$1-$C$2*$C$1/2)),"",MIN(C14+$C$2,ABS($E$1-$C$2*$C$1/2))),"")</f>
        <v>5.5</v>
      </c>
      <c r="D15" s="122">
        <f t="shared" si="3"/>
        <v>0.35262814725101777</v>
      </c>
      <c r="E15" s="122">
        <f>IF(MAX($E$4:E14)=SUM($F$4:F15),"",SUM($F$4:F15))</f>
        <v>10</v>
      </c>
      <c r="F15" s="122">
        <f t="shared" si="1"/>
        <v>0.40079273269440424</v>
      </c>
    </row>
    <row r="16" spans="1:9" x14ac:dyDescent="0.25">
      <c r="A16" t="str">
        <f t="shared" si="2"/>
        <v/>
      </c>
      <c r="B16" s="122" t="str">
        <f t="shared" si="0"/>
        <v/>
      </c>
      <c r="C16" s="122" t="str">
        <f>IFERROR(IF(MAX($C$4:C15)=MIN(C15+$C$2,ABS($E$1-$C$2*$C$1/2)),"",MIN(C15+$C$2,ABS($E$1-$C$2*$C$1/2))),"")</f>
        <v/>
      </c>
      <c r="D16" s="122" t="str">
        <f t="shared" si="3"/>
        <v/>
      </c>
      <c r="E16" s="122" t="str">
        <f>IF(MAX($E$4:E15)=SUM($F$4:F16),"",SUM($F$4:F16))</f>
        <v/>
      </c>
      <c r="F16" s="122" t="str">
        <f t="shared" si="1"/>
        <v/>
      </c>
      <c r="H16" t="str">
        <f>IFERROR(IF(C16=-C14,0,$E$2/(1+EXP(-$G$2*(C16-$E$1)))),"")</f>
        <v/>
      </c>
    </row>
    <row r="17" spans="1:8" x14ac:dyDescent="0.25">
      <c r="A17" t="str">
        <f t="shared" si="2"/>
        <v/>
      </c>
      <c r="B17" s="122" t="str">
        <f t="shared" si="0"/>
        <v/>
      </c>
      <c r="C17" s="122" t="str">
        <f>IFERROR(IF(MAX($C$4:C16)=MIN(C16+$C$2,ABS($E$1-$C$2*$C$1/2)),"",MIN(C16+$C$2,ABS($E$1-$C$2*$C$1/2))),"")</f>
        <v/>
      </c>
      <c r="D17" s="122" t="str">
        <f t="shared" si="3"/>
        <v/>
      </c>
      <c r="E17" s="122" t="str">
        <f>IF(MAX($E$4:E16)=SUM($F$4:F17),"",SUM($F$4:F17))</f>
        <v/>
      </c>
      <c r="F17" s="122" t="str">
        <f t="shared" si="1"/>
        <v/>
      </c>
      <c r="H17" t="str">
        <f>IFERROR(IF(C17=-C15,0,$E$2/(1+EXP(-$G$2*(C17-$E$1)))),"")</f>
        <v/>
      </c>
    </row>
    <row r="18" spans="1:8" x14ac:dyDescent="0.25">
      <c r="A18" t="str">
        <f t="shared" si="2"/>
        <v/>
      </c>
      <c r="B18" s="122" t="str">
        <f t="shared" si="0"/>
        <v/>
      </c>
      <c r="C18" s="122" t="str">
        <f>IFERROR(IF(MAX($C$4:C17)=MIN(C17+$C$2,ABS($E$1-$C$2*$C$1/2)),"",MIN(C17+$C$2,ABS($E$1-$C$2*$C$1/2))),"")</f>
        <v/>
      </c>
      <c r="D18" s="122" t="str">
        <f t="shared" si="3"/>
        <v/>
      </c>
      <c r="E18" s="122" t="str">
        <f>IF(MAX($E$4:E17)=SUM($F$4:F18),"",SUM($F$4:F18))</f>
        <v/>
      </c>
      <c r="F18" s="122" t="str">
        <f t="shared" si="1"/>
        <v/>
      </c>
    </row>
    <row r="19" spans="1:8" x14ac:dyDescent="0.25">
      <c r="A19" t="str">
        <f t="shared" si="2"/>
        <v/>
      </c>
      <c r="B19" s="122" t="str">
        <f t="shared" si="0"/>
        <v/>
      </c>
      <c r="C19" s="122" t="str">
        <f>IFERROR(IF(MAX($C$4:C18)=MIN(C18+$C$2,ABS($E$1-$C$2*$C$1/2)),"",MIN(C18+$C$2,ABS($E$1-$C$2*$C$1/2))),"")</f>
        <v/>
      </c>
      <c r="D19" s="122" t="str">
        <f t="shared" si="3"/>
        <v/>
      </c>
      <c r="E19" s="122" t="str">
        <f>IF(MAX($E$4:E18)=SUM($F$4:F19),"",SUM($F$4:F19))</f>
        <v/>
      </c>
      <c r="F19" s="122" t="str">
        <f t="shared" si="1"/>
        <v/>
      </c>
    </row>
    <row r="20" spans="1:8" x14ac:dyDescent="0.25">
      <c r="A20" t="str">
        <f t="shared" si="2"/>
        <v/>
      </c>
      <c r="B20" s="122" t="str">
        <f t="shared" si="0"/>
        <v/>
      </c>
      <c r="C20" s="122" t="str">
        <f>IFERROR(IF(MAX($C$4:C19)=MIN(C19+$C$2,ABS($E$1-$C$2*$C$1/2)),"",MIN(C19+$C$2,ABS($E$1-$C$2*$C$1/2))),"")</f>
        <v/>
      </c>
      <c r="D20" s="122" t="str">
        <f t="shared" si="3"/>
        <v/>
      </c>
      <c r="E20" s="122" t="str">
        <f>IF(MAX($E$4:E19)=SUM($F$4:F20),"",SUM($F$4:F20))</f>
        <v/>
      </c>
      <c r="F20" s="122" t="str">
        <f t="shared" si="1"/>
        <v/>
      </c>
    </row>
    <row r="21" spans="1:8" x14ac:dyDescent="0.25">
      <c r="A21" t="str">
        <f t="shared" si="2"/>
        <v/>
      </c>
      <c r="B21" s="122" t="str">
        <f t="shared" si="0"/>
        <v/>
      </c>
      <c r="C21" s="122" t="str">
        <f>IFERROR(IF(MAX($C$4:C20)=MIN(C20+$C$2,ABS($E$1-$C$2*$C$1/2)),"",MIN(C20+$C$2,ABS($E$1-$C$2*$C$1/2))),"")</f>
        <v/>
      </c>
      <c r="D21" s="122" t="str">
        <f t="shared" si="3"/>
        <v/>
      </c>
      <c r="E21" s="122" t="str">
        <f>IF(MAX($E$4:E20)=SUM($F$4:F21),"",SUM($F$4:F21))</f>
        <v/>
      </c>
      <c r="F21" s="122" t="str">
        <f t="shared" si="1"/>
        <v/>
      </c>
    </row>
    <row r="22" spans="1:8" x14ac:dyDescent="0.25">
      <c r="A22" t="str">
        <f t="shared" si="2"/>
        <v/>
      </c>
      <c r="B22" s="122" t="str">
        <f t="shared" si="0"/>
        <v/>
      </c>
      <c r="C22" s="122" t="str">
        <f>IFERROR(IF(MAX($C$4:C21)=MIN(C21+$C$2,ABS($E$1-$C$2*$C$1/2)),"",MIN(C21+$C$2,ABS($E$1-$C$2*$C$1/2))),"")</f>
        <v/>
      </c>
      <c r="D22" s="122" t="str">
        <f t="shared" si="3"/>
        <v/>
      </c>
      <c r="E22" s="122" t="str">
        <f>IF(MAX($E$4:E21)=SUM($F$4:F22),"",SUM($F$4:F22))</f>
        <v/>
      </c>
      <c r="F22" s="122" t="str">
        <f t="shared" si="1"/>
        <v/>
      </c>
    </row>
    <row r="23" spans="1:8" x14ac:dyDescent="0.25">
      <c r="A23" t="str">
        <f t="shared" si="2"/>
        <v/>
      </c>
      <c r="B23" s="122" t="str">
        <f t="shared" si="0"/>
        <v/>
      </c>
      <c r="C23" s="122" t="str">
        <f>IFERROR(IF(MAX($C$4:C22)=MIN(C22+$C$2,ABS($E$1-$C$2*$C$1/2)),"",MIN(C22+$C$2,ABS($E$1-$C$2*$C$1/2))),"")</f>
        <v/>
      </c>
      <c r="D23" s="122" t="str">
        <f t="shared" si="3"/>
        <v/>
      </c>
      <c r="E23" s="122" t="str">
        <f>IF(MAX($E$4:E22)=SUM($F$4:F23),"",SUM($F$4:F23))</f>
        <v/>
      </c>
      <c r="F23" s="122" t="str">
        <f t="shared" si="1"/>
        <v/>
      </c>
    </row>
    <row r="24" spans="1:8" x14ac:dyDescent="0.25">
      <c r="A24" t="str">
        <f t="shared" si="2"/>
        <v/>
      </c>
      <c r="B24" s="122" t="str">
        <f t="shared" si="0"/>
        <v/>
      </c>
      <c r="C24" s="122" t="str">
        <f>IFERROR(IF(MAX($C$4:C23)=MIN(C23+$C$2,ABS($E$1-$C$2*$C$1/2)),"",MIN(C23+$C$2,ABS($E$1-$C$2*$C$1/2))),"")</f>
        <v/>
      </c>
      <c r="D24" s="122" t="str">
        <f t="shared" si="3"/>
        <v/>
      </c>
      <c r="E24" s="122" t="str">
        <f>IF(MAX($E$4:E23)=SUM($F$4:F24),"",SUM($F$4:F24))</f>
        <v/>
      </c>
      <c r="F24" s="122" t="str">
        <f t="shared" si="1"/>
        <v/>
      </c>
    </row>
    <row r="25" spans="1:8" x14ac:dyDescent="0.25">
      <c r="A25" t="str">
        <f t="shared" si="2"/>
        <v/>
      </c>
      <c r="B25" s="122" t="str">
        <f t="shared" si="0"/>
        <v/>
      </c>
      <c r="C25" s="122" t="str">
        <f>IFERROR(IF(MAX($C$4:C24)=MIN(C24+$C$2,ABS($E$1-$C$2*$C$1/2)),"",MIN(C24+$C$2,ABS($E$1-$C$2*$C$1/2))),"")</f>
        <v/>
      </c>
      <c r="D25" s="122" t="str">
        <f t="shared" si="3"/>
        <v/>
      </c>
      <c r="E25" s="122" t="str">
        <f>IF(MAX($E$4:E24)=SUM($F$4:F25),"",SUM($F$4:F25))</f>
        <v/>
      </c>
      <c r="F25" s="122" t="str">
        <f t="shared" si="1"/>
        <v/>
      </c>
    </row>
    <row r="26" spans="1:8" x14ac:dyDescent="0.25">
      <c r="A26" t="str">
        <f t="shared" si="2"/>
        <v/>
      </c>
      <c r="B26" s="122" t="str">
        <f t="shared" si="0"/>
        <v/>
      </c>
      <c r="C26" s="122" t="str">
        <f>IFERROR(IF(MAX($C$4:C25)=MIN(C25+$C$2,ABS($E$1-$C$2*$C$1/2)),"",MIN(C25+$C$2,ABS($E$1-$C$2*$C$1/2))),"")</f>
        <v/>
      </c>
      <c r="D26" s="122" t="str">
        <f t="shared" si="3"/>
        <v/>
      </c>
      <c r="E26" s="122" t="str">
        <f>IF(MAX($E$4:E25)=SUM($F$4:F26),"",SUM($F$4:F26))</f>
        <v/>
      </c>
      <c r="F26" s="122" t="str">
        <f t="shared" si="1"/>
        <v/>
      </c>
    </row>
    <row r="27" spans="1:8" x14ac:dyDescent="0.25">
      <c r="A27" t="str">
        <f t="shared" si="2"/>
        <v/>
      </c>
      <c r="B27" s="122" t="str">
        <f t="shared" si="0"/>
        <v/>
      </c>
      <c r="C27" s="122" t="str">
        <f>IFERROR(IF(MAX($C$4:C26)=MIN(C26+$C$2,ABS($E$1-$C$2*$C$1/2)),"",MIN(C26+$C$2,ABS($E$1-$C$2*$C$1/2))),"")</f>
        <v/>
      </c>
      <c r="D27" s="122" t="str">
        <f t="shared" si="3"/>
        <v/>
      </c>
      <c r="E27" s="122" t="str">
        <f>IF(MAX($E$4:E26)=SUM($F$4:F27),"",SUM($F$4:F27))</f>
        <v/>
      </c>
      <c r="F27" s="122" t="str">
        <f t="shared" si="1"/>
        <v/>
      </c>
    </row>
    <row r="28" spans="1:8" x14ac:dyDescent="0.25">
      <c r="A28" t="str">
        <f t="shared" si="2"/>
        <v/>
      </c>
      <c r="B28" s="122" t="str">
        <f t="shared" si="0"/>
        <v/>
      </c>
      <c r="C28" s="122" t="str">
        <f>IFERROR(IF(MAX($C$4:C27)=MIN(C27+$C$2,ABS($E$1-$C$2*$C$1/2)),"",MIN(C27+$C$2,ABS($E$1-$C$2*$C$1/2))),"")</f>
        <v/>
      </c>
      <c r="D28" s="122" t="str">
        <f t="shared" si="3"/>
        <v/>
      </c>
      <c r="E28" s="122" t="str">
        <f>IF(MAX($E$4:E27)=SUM($F$4:F28),"",SUM($F$4:F28))</f>
        <v/>
      </c>
      <c r="F28" s="122" t="str">
        <f t="shared" si="1"/>
        <v/>
      </c>
    </row>
    <row r="29" spans="1:8" x14ac:dyDescent="0.25">
      <c r="A29" t="str">
        <f t="shared" si="2"/>
        <v/>
      </c>
      <c r="B29" s="122" t="str">
        <f t="shared" si="0"/>
        <v/>
      </c>
      <c r="C29" s="122" t="str">
        <f>IFERROR(IF(MAX($C$4:C28)=MIN(C28+$C$2,ABS($E$1-$C$2*$C$1/2)),"",MIN(C28+$C$2,ABS($E$1-$C$2*$C$1/2))),"")</f>
        <v/>
      </c>
      <c r="D29" s="122" t="str">
        <f t="shared" si="3"/>
        <v/>
      </c>
      <c r="E29" s="122" t="str">
        <f>IF(MAX($E$4:E28)=SUM($F$4:F29),"",SUM($F$4:F29))</f>
        <v/>
      </c>
      <c r="F29" s="122" t="str">
        <f t="shared" si="1"/>
        <v/>
      </c>
    </row>
    <row r="30" spans="1:8" x14ac:dyDescent="0.25">
      <c r="A30" t="str">
        <f t="shared" si="2"/>
        <v/>
      </c>
      <c r="B30" s="122" t="str">
        <f t="shared" si="0"/>
        <v/>
      </c>
      <c r="C30" s="122" t="str">
        <f>IFERROR(IF(MAX($C$4:C29)=MIN(C29+$C$2,ABS($E$1-$C$2*$C$1/2)),"",MIN(C29+$C$2,ABS($E$1-$C$2*$C$1/2))),"")</f>
        <v/>
      </c>
      <c r="D30" s="122" t="str">
        <f t="shared" si="3"/>
        <v/>
      </c>
      <c r="E30" s="122" t="str">
        <f>IF(MAX($E$4:E29)=SUM($F$4:F30),"",SUM($F$4:F30))</f>
        <v/>
      </c>
      <c r="F30" s="122" t="str">
        <f t="shared" si="1"/>
        <v/>
      </c>
    </row>
    <row r="31" spans="1:8" x14ac:dyDescent="0.25">
      <c r="A31" t="str">
        <f t="shared" si="2"/>
        <v/>
      </c>
      <c r="B31" s="122" t="str">
        <f t="shared" si="0"/>
        <v/>
      </c>
      <c r="C31" s="122" t="str">
        <f>IFERROR(IF(MAX($C$4:C30)=MIN(C30+$C$2,ABS($E$1-$C$2*$C$1/2)),"",MIN(C30+$C$2,ABS($E$1-$C$2*$C$1/2))),"")</f>
        <v/>
      </c>
      <c r="D31" s="122" t="str">
        <f t="shared" si="3"/>
        <v/>
      </c>
      <c r="E31" s="122" t="str">
        <f>IF(MAX($E$4:E30)=SUM($F$4:F31),"",SUM($F$4:F31))</f>
        <v/>
      </c>
      <c r="F31" s="122" t="str">
        <f t="shared" si="1"/>
        <v/>
      </c>
    </row>
    <row r="32" spans="1:8" x14ac:dyDescent="0.25">
      <c r="A32" t="str">
        <f t="shared" si="2"/>
        <v/>
      </c>
      <c r="B32" s="122" t="str">
        <f t="shared" si="0"/>
        <v/>
      </c>
      <c r="C32" s="122" t="str">
        <f>IFERROR(IF(MAX($C$4:C31)=MIN(C31+$C$2,ABS($E$1-$C$2*$C$1/2)),"",MIN(C31+$C$2,ABS($E$1-$C$2*$C$1/2))),"")</f>
        <v/>
      </c>
      <c r="D32" s="122" t="str">
        <f t="shared" si="3"/>
        <v/>
      </c>
      <c r="E32" s="122" t="str">
        <f>IF(MAX($E$4:E31)=SUM($F$4:F32),"",SUM($F$4:F32))</f>
        <v/>
      </c>
      <c r="F32" s="122" t="str">
        <f t="shared" si="1"/>
        <v/>
      </c>
    </row>
    <row r="33" spans="1:6" x14ac:dyDescent="0.25">
      <c r="A33" t="str">
        <f t="shared" si="2"/>
        <v/>
      </c>
      <c r="B33" s="122" t="str">
        <f t="shared" si="0"/>
        <v/>
      </c>
      <c r="C33" s="122" t="str">
        <f>IFERROR(IF(MAX($C$4:C32)=MIN(C32+$C$2,ABS($E$1-$C$2*$C$1/2)),"",MIN(C32+$C$2,ABS($E$1-$C$2*$C$1/2))),"")</f>
        <v/>
      </c>
      <c r="D33" s="122" t="str">
        <f t="shared" si="3"/>
        <v/>
      </c>
      <c r="E33" s="122" t="str">
        <f>IF(MAX($E$4:E32)=SUM($F$4:F33),"",SUM($F$4:F33))</f>
        <v/>
      </c>
      <c r="F33" s="122" t="str">
        <f t="shared" si="1"/>
        <v/>
      </c>
    </row>
    <row r="34" spans="1:6" x14ac:dyDescent="0.25">
      <c r="A34" t="str">
        <f t="shared" si="2"/>
        <v/>
      </c>
      <c r="B34" s="122" t="str">
        <f t="shared" si="0"/>
        <v/>
      </c>
      <c r="C34" s="122" t="str">
        <f>IFERROR(IF(MAX($C$4:C33)=MIN(C33+$C$2,ABS($E$1-$C$2*$C$1/2)),"",MIN(C33+$C$2,ABS($E$1-$C$2*$C$1/2))),"")</f>
        <v/>
      </c>
      <c r="D34" s="122" t="str">
        <f t="shared" si="3"/>
        <v/>
      </c>
      <c r="E34" s="122" t="str">
        <f>IF(MAX($E$4:E33)=SUM($F$4:F34),"",SUM($F$4:F34))</f>
        <v/>
      </c>
      <c r="F34" s="122" t="str">
        <f t="shared" si="1"/>
        <v/>
      </c>
    </row>
    <row r="35" spans="1:6" x14ac:dyDescent="0.25">
      <c r="A35" t="str">
        <f t="shared" si="2"/>
        <v/>
      </c>
      <c r="B35" s="122" t="str">
        <f t="shared" si="0"/>
        <v/>
      </c>
      <c r="C35" s="122" t="str">
        <f>IFERROR(IF(MAX($C$4:C34)=MIN(C34+$C$2,ABS($E$1-$C$2*$C$1/2)),"",MIN(C34+$C$2,ABS($E$1-$C$2*$C$1/2))),"")</f>
        <v/>
      </c>
      <c r="D35" s="122" t="str">
        <f t="shared" si="3"/>
        <v/>
      </c>
      <c r="E35" s="122" t="str">
        <f>IF(MAX($E$4:E34)=SUM($F$4:F35),"",SUM($F$4:F35))</f>
        <v/>
      </c>
      <c r="F35" s="122" t="str">
        <f t="shared" si="1"/>
        <v/>
      </c>
    </row>
    <row r="36" spans="1:6" x14ac:dyDescent="0.25">
      <c r="A36" t="str">
        <f t="shared" si="2"/>
        <v/>
      </c>
      <c r="B36" s="122" t="str">
        <f t="shared" si="0"/>
        <v/>
      </c>
      <c r="C36" s="122" t="str">
        <f>IFERROR(IF(MAX($C$4:C35)=MIN(C35+$C$2,ABS($E$1-$C$2*$C$1/2)),"",MIN(C35+$C$2,ABS($E$1-$C$2*$C$1/2))),"")</f>
        <v/>
      </c>
      <c r="D36" s="122" t="str">
        <f t="shared" si="3"/>
        <v/>
      </c>
      <c r="E36" s="122" t="str">
        <f>IF(MAX($E$4:E35)=SUM($F$4:F36),"",SUM($F$4:F36))</f>
        <v/>
      </c>
      <c r="F36" s="122" t="str">
        <f t="shared" si="1"/>
        <v/>
      </c>
    </row>
    <row r="37" spans="1:6" x14ac:dyDescent="0.25">
      <c r="A37" t="str">
        <f t="shared" si="2"/>
        <v/>
      </c>
      <c r="B37" s="122" t="str">
        <f t="shared" si="0"/>
        <v/>
      </c>
      <c r="C37" s="122" t="str">
        <f>IFERROR(IF(MAX($C$4:C36)=MIN(C36+$C$2,ABS($E$1-$C$2*$C$1/2)),"",MIN(C36+$C$2,ABS($E$1-$C$2*$C$1/2))),"")</f>
        <v/>
      </c>
      <c r="D37" s="122" t="str">
        <f t="shared" si="3"/>
        <v/>
      </c>
      <c r="E37" s="122" t="str">
        <f>IF(MAX($E$4:E36)=SUM($F$4:F37),"",SUM($F$4:F37))</f>
        <v/>
      </c>
      <c r="F37" s="122" t="str">
        <f t="shared" si="1"/>
        <v/>
      </c>
    </row>
    <row r="38" spans="1:6" x14ac:dyDescent="0.25">
      <c r="A38" t="str">
        <f t="shared" si="2"/>
        <v/>
      </c>
      <c r="B38" s="122" t="str">
        <f t="shared" si="0"/>
        <v/>
      </c>
      <c r="C38" s="122" t="str">
        <f>IFERROR(IF(MAX($C$4:C37)=MIN(C37+$C$2,ABS($E$1-$C$2*$C$1/2)),"",MIN(C37+$C$2,ABS($E$1-$C$2*$C$1/2))),"")</f>
        <v/>
      </c>
      <c r="D38" s="122" t="str">
        <f t="shared" si="3"/>
        <v/>
      </c>
      <c r="E38" s="122" t="str">
        <f>IF(MAX($E$4:E37)=SUM($F$4:F38),"",SUM($F$4:F38))</f>
        <v/>
      </c>
      <c r="F38" s="122" t="str">
        <f t="shared" si="1"/>
        <v/>
      </c>
    </row>
    <row r="39" spans="1:6" x14ac:dyDescent="0.25">
      <c r="A39" t="str">
        <f t="shared" si="2"/>
        <v/>
      </c>
      <c r="B39" s="122" t="str">
        <f t="shared" si="0"/>
        <v/>
      </c>
      <c r="C39" s="122" t="str">
        <f>IFERROR(IF(MAX($C$4:C38)=MIN(C38+$C$2,ABS($E$1-$C$2*$C$1/2)),"",MIN(C38+$C$2,ABS($E$1-$C$2*$C$1/2))),"")</f>
        <v/>
      </c>
      <c r="D39" s="122" t="str">
        <f t="shared" si="3"/>
        <v/>
      </c>
      <c r="E39" s="122" t="str">
        <f>IF(MAX($E$4:E38)=SUM($F$4:F39),"",SUM($F$4:F39))</f>
        <v/>
      </c>
      <c r="F39" s="122" t="str">
        <f t="shared" si="1"/>
        <v/>
      </c>
    </row>
    <row r="40" spans="1:6" x14ac:dyDescent="0.25">
      <c r="A40" t="str">
        <f t="shared" si="2"/>
        <v/>
      </c>
      <c r="B40" s="122" t="str">
        <f t="shared" si="0"/>
        <v/>
      </c>
      <c r="C40" s="122" t="str">
        <f>IFERROR(IF(MAX($C$4:C39)=MIN(C39+$C$2,ABS($E$1-$C$2*$C$1/2)),"",MIN(C39+$C$2,ABS($E$1-$C$2*$C$1/2))),"")</f>
        <v/>
      </c>
      <c r="D40" s="122" t="str">
        <f t="shared" si="3"/>
        <v/>
      </c>
      <c r="E40" s="122" t="str">
        <f>IF(MAX($E$4:E39)=SUM($F$4:F40),"",SUM($F$4:F40))</f>
        <v/>
      </c>
      <c r="F40" s="122" t="str">
        <f t="shared" si="1"/>
        <v/>
      </c>
    </row>
    <row r="41" spans="1:6" x14ac:dyDescent="0.25">
      <c r="A41" t="str">
        <f t="shared" si="2"/>
        <v/>
      </c>
      <c r="B41" s="122" t="str">
        <f t="shared" si="0"/>
        <v/>
      </c>
      <c r="C41" s="122" t="str">
        <f>IFERROR(IF(MAX($C$4:C40)=MIN(C40+$C$2,ABS($E$1-$C$2*$C$1/2)),"",MIN(C40+$C$2,ABS($E$1-$C$2*$C$1/2))),"")</f>
        <v/>
      </c>
      <c r="D41" s="122" t="str">
        <f t="shared" si="3"/>
        <v/>
      </c>
      <c r="E41" s="122" t="str">
        <f>IF(MAX($E$4:E40)=SUM($F$4:F41),"",SUM($F$4:F41))</f>
        <v/>
      </c>
      <c r="F41" s="122" t="str">
        <f t="shared" si="1"/>
        <v/>
      </c>
    </row>
    <row r="42" spans="1:6" x14ac:dyDescent="0.25">
      <c r="A42" t="str">
        <f t="shared" si="2"/>
        <v/>
      </c>
      <c r="B42" s="122" t="str">
        <f t="shared" si="0"/>
        <v/>
      </c>
      <c r="C42" s="122" t="str">
        <f>IFERROR(IF(MAX($C$4:C41)=MIN(C41+$C$2,ABS($E$1-$C$2*$C$1/2)),"",MIN(C41+$C$2,ABS($E$1-$C$2*$C$1/2))),"")</f>
        <v/>
      </c>
      <c r="D42" s="122" t="str">
        <f t="shared" si="3"/>
        <v/>
      </c>
      <c r="E42" s="122" t="str">
        <f>IF(MAX($E$4:E41)=SUM($F$4:F42),"",SUM($F$4:F42))</f>
        <v/>
      </c>
      <c r="F42" s="122" t="str">
        <f t="shared" si="1"/>
        <v/>
      </c>
    </row>
    <row r="43" spans="1:6" x14ac:dyDescent="0.25">
      <c r="A43" t="str">
        <f t="shared" si="2"/>
        <v/>
      </c>
      <c r="B43" s="122" t="str">
        <f t="shared" si="0"/>
        <v/>
      </c>
      <c r="C43" s="122" t="str">
        <f>IFERROR(IF(MAX($C$4:C42)=MIN(C42+$C$2,ABS($E$1-$C$2*$C$1/2)),"",MIN(C42+$C$2,ABS($E$1-$C$2*$C$1/2))),"")</f>
        <v/>
      </c>
      <c r="D43" s="122" t="str">
        <f t="shared" si="3"/>
        <v/>
      </c>
      <c r="E43" s="122" t="str">
        <f>IF(MAX($E$4:E42)=SUM($F$4:F43),"",SUM($F$4:F43))</f>
        <v/>
      </c>
      <c r="F43" s="122" t="str">
        <f t="shared" si="1"/>
        <v/>
      </c>
    </row>
    <row r="44" spans="1:6" x14ac:dyDescent="0.25">
      <c r="A44" t="str">
        <f t="shared" si="2"/>
        <v/>
      </c>
      <c r="B44" s="122" t="str">
        <f t="shared" si="0"/>
        <v/>
      </c>
      <c r="C44" s="122" t="str">
        <f>IFERROR(IF(MAX($C$4:C43)=MIN(C43+$C$2,ABS($E$1-$C$2*$C$1/2)),"",MIN(C43+$C$2,ABS($E$1-$C$2*$C$1/2))),"")</f>
        <v/>
      </c>
      <c r="D44" s="122" t="str">
        <f t="shared" si="3"/>
        <v/>
      </c>
      <c r="E44" s="122" t="str">
        <f>IF(MAX($E$4:E43)=SUM($F$4:F44),"",SUM($F$4:F44))</f>
        <v/>
      </c>
      <c r="F44" s="122" t="str">
        <f t="shared" si="1"/>
        <v/>
      </c>
    </row>
    <row r="45" spans="1:6" x14ac:dyDescent="0.25">
      <c r="A45" t="str">
        <f t="shared" si="2"/>
        <v/>
      </c>
      <c r="B45" s="122" t="str">
        <f t="shared" si="0"/>
        <v/>
      </c>
      <c r="C45" s="122" t="str">
        <f>IFERROR(IF(MAX($C$4:C44)=MIN(C44+$C$2,ABS($E$1-$C$2*$C$1/2)),"",MIN(C44+$C$2,ABS($E$1-$C$2*$C$1/2))),"")</f>
        <v/>
      </c>
      <c r="D45" s="122" t="str">
        <f t="shared" si="3"/>
        <v/>
      </c>
      <c r="E45" s="122" t="str">
        <f>IF(MAX($E$4:E44)=SUM($F$4:F45),"",SUM($F$4:F45))</f>
        <v/>
      </c>
      <c r="F45" s="122" t="str">
        <f t="shared" si="1"/>
        <v/>
      </c>
    </row>
    <row r="46" spans="1:6" x14ac:dyDescent="0.25">
      <c r="A46" t="str">
        <f t="shared" si="2"/>
        <v/>
      </c>
      <c r="B46" s="122" t="str">
        <f t="shared" si="0"/>
        <v/>
      </c>
      <c r="C46" s="122" t="str">
        <f>IFERROR(IF(MAX($C$4:C45)=MIN(C45+$C$2,ABS($E$1-$C$2*$C$1/2)),"",MIN(C45+$C$2,ABS($E$1-$C$2*$C$1/2))),"")</f>
        <v/>
      </c>
      <c r="D46" s="122" t="str">
        <f t="shared" si="3"/>
        <v/>
      </c>
      <c r="E46" s="122" t="str">
        <f>IF(MAX($E$4:E45)=SUM($F$4:F46),"",SUM($F$4:F46))</f>
        <v/>
      </c>
      <c r="F46" s="122" t="str">
        <f t="shared" si="1"/>
        <v/>
      </c>
    </row>
    <row r="47" spans="1:6" x14ac:dyDescent="0.25">
      <c r="A47" t="str">
        <f t="shared" si="2"/>
        <v/>
      </c>
      <c r="B47" s="122" t="str">
        <f t="shared" si="0"/>
        <v/>
      </c>
      <c r="C47" s="122" t="str">
        <f>IFERROR(IF(MAX($C$4:C46)=MIN(C46+$C$2,ABS($E$1-$C$2*$C$1/2)),"",MIN(C46+$C$2,ABS($E$1-$C$2*$C$1/2))),"")</f>
        <v/>
      </c>
      <c r="D47" s="122" t="str">
        <f t="shared" si="3"/>
        <v/>
      </c>
      <c r="E47" s="122" t="str">
        <f>IF(MAX($E$4:E46)=SUM($F$4:F47),"",SUM($F$4:F47))</f>
        <v/>
      </c>
      <c r="F47" s="122" t="str">
        <f t="shared" si="1"/>
        <v/>
      </c>
    </row>
    <row r="48" spans="1:6" x14ac:dyDescent="0.25">
      <c r="A48" t="str">
        <f t="shared" si="2"/>
        <v/>
      </c>
      <c r="B48" s="122" t="str">
        <f t="shared" si="0"/>
        <v/>
      </c>
      <c r="C48" s="122" t="str">
        <f>IFERROR(IF(MAX($C$4:C47)=MIN(C47+$C$2,ABS($E$1-$C$2*$C$1/2)),"",MIN(C47+$C$2,ABS($E$1-$C$2*$C$1/2))),"")</f>
        <v/>
      </c>
      <c r="D48" s="122" t="str">
        <f t="shared" si="3"/>
        <v/>
      </c>
      <c r="E48" s="122" t="str">
        <f>IF(MAX($E$4:E47)=SUM($F$4:F48),"",SUM($F$4:F48))</f>
        <v/>
      </c>
      <c r="F48" s="122" t="str">
        <f t="shared" si="1"/>
        <v/>
      </c>
    </row>
    <row r="49" spans="1:6" x14ac:dyDescent="0.25">
      <c r="A49" t="str">
        <f t="shared" si="2"/>
        <v/>
      </c>
      <c r="B49" s="122" t="str">
        <f t="shared" si="0"/>
        <v/>
      </c>
      <c r="C49" s="122" t="str">
        <f>IFERROR(IF(MAX($C$4:C48)=MIN(C48+$C$2,ABS($E$1-$C$2*$C$1/2)),"",MIN(C48+$C$2,ABS($E$1-$C$2*$C$1/2))),"")</f>
        <v/>
      </c>
      <c r="D49" s="122" t="str">
        <f t="shared" si="3"/>
        <v/>
      </c>
      <c r="E49" s="122" t="str">
        <f>IF(MAX($E$4:E48)=SUM($F$4:F49),"",SUM($F$4:F49))</f>
        <v/>
      </c>
      <c r="F49" s="122" t="str">
        <f t="shared" si="1"/>
        <v/>
      </c>
    </row>
    <row r="50" spans="1:6" x14ac:dyDescent="0.25">
      <c r="A50" t="str">
        <f t="shared" si="2"/>
        <v/>
      </c>
      <c r="B50" s="122" t="str">
        <f t="shared" si="0"/>
        <v/>
      </c>
      <c r="C50" s="122" t="str">
        <f>IFERROR(IF(MAX($C$4:C49)=MIN(C49+$C$2,ABS($E$1-$C$2*$C$1/2)),"",MIN(C49+$C$2,ABS($E$1-$C$2*$C$1/2))),"")</f>
        <v/>
      </c>
      <c r="D50" s="122" t="str">
        <f t="shared" si="3"/>
        <v/>
      </c>
      <c r="E50" s="122" t="str">
        <f>IF(MAX($E$4:E49)=SUM($F$4:F50),"",SUM($F$4:F50))</f>
        <v/>
      </c>
      <c r="F50" s="122" t="str">
        <f t="shared" si="1"/>
        <v/>
      </c>
    </row>
    <row r="51" spans="1:6" x14ac:dyDescent="0.25">
      <c r="A51" t="str">
        <f t="shared" si="2"/>
        <v/>
      </c>
      <c r="B51" s="122" t="str">
        <f t="shared" si="0"/>
        <v/>
      </c>
      <c r="C51" s="122" t="str">
        <f>IFERROR(IF(MAX($C$4:C50)=MIN(C50+$C$2,ABS($E$1-$C$2*$C$1/2)),"",MIN(C50+$C$2,ABS($E$1-$C$2*$C$1/2))),"")</f>
        <v/>
      </c>
      <c r="D51" s="122" t="str">
        <f t="shared" si="3"/>
        <v/>
      </c>
      <c r="E51" s="122" t="str">
        <f>IF(MAX($E$4:E50)=SUM($F$4:F51),"",SUM($F$4:F51))</f>
        <v/>
      </c>
      <c r="F51" s="122" t="str">
        <f t="shared" si="1"/>
        <v/>
      </c>
    </row>
    <row r="52" spans="1:6" x14ac:dyDescent="0.25">
      <c r="A52" t="str">
        <f t="shared" si="2"/>
        <v/>
      </c>
      <c r="B52" s="122" t="str">
        <f t="shared" si="0"/>
        <v/>
      </c>
      <c r="C52" s="122" t="str">
        <f>IFERROR(IF(MAX($C$4:C51)=MIN(C51+$C$2,ABS($E$1-$C$2*$C$1/2)),"",MIN(C51+$C$2,ABS($E$1-$C$2*$C$1/2))),"")</f>
        <v/>
      </c>
      <c r="D52" s="122" t="str">
        <f t="shared" si="3"/>
        <v/>
      </c>
      <c r="E52" s="122" t="str">
        <f>IF(MAX($E$4:E51)=SUM($F$4:F52),"",SUM($F$4:F52))</f>
        <v/>
      </c>
      <c r="F52" s="122" t="str">
        <f t="shared" si="1"/>
        <v/>
      </c>
    </row>
    <row r="53" spans="1:6" x14ac:dyDescent="0.25">
      <c r="A53" t="str">
        <f t="shared" si="2"/>
        <v/>
      </c>
      <c r="B53" s="124" t="str">
        <f t="shared" si="0"/>
        <v/>
      </c>
      <c r="C53" s="124" t="str">
        <f>IFERROR(IF(MAX($C$4:C52)=MIN(C52+$C$2,ABS($E$1-$C$2*$C$1/2)),"",MIN(C52+$C$2,ABS($E$1-$C$2*$C$1/2))),"")</f>
        <v/>
      </c>
      <c r="D53" s="124" t="str">
        <f t="shared" si="3"/>
        <v/>
      </c>
      <c r="E53" s="124" t="str">
        <f>IF(MAX($E$4:E52)=SUM($F$4:F53),"",SUM($F$4:F53))</f>
        <v/>
      </c>
      <c r="F53" s="124" t="str">
        <f t="shared" si="1"/>
        <v/>
      </c>
    </row>
    <row r="55" spans="1:6" x14ac:dyDescent="0.25">
      <c r="B55" t="s">
        <v>0</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14</vt:i4>
      </vt:variant>
    </vt:vector>
  </HeadingPairs>
  <TitlesOfParts>
    <vt:vector size="19" baseType="lpstr">
      <vt:lpstr>Business Case Description</vt:lpstr>
      <vt:lpstr>Results</vt:lpstr>
      <vt:lpstr>Financial Pro Forma</vt:lpstr>
      <vt:lpstr>Exhibit 1 - Gaussian dist.</vt:lpstr>
      <vt:lpstr>Exhibit 2 - Logistic dist.</vt:lpstr>
      <vt:lpstr>Chart_Category</vt:lpstr>
      <vt:lpstr>Gaussian_Area</vt:lpstr>
      <vt:lpstr>Gaussian_End</vt:lpstr>
      <vt:lpstr>Gaussian_Mean</vt:lpstr>
      <vt:lpstr>Gaussian_Start</vt:lpstr>
      <vt:lpstr>Gaussian_Tot_Costs</vt:lpstr>
      <vt:lpstr>GL_Code</vt:lpstr>
      <vt:lpstr>GL_Description</vt:lpstr>
      <vt:lpstr>Monthly_Dates</vt:lpstr>
      <vt:lpstr>'Business Case Description'!Print_Area</vt:lpstr>
      <vt:lpstr>'Financial Pro Forma'!Print_Area</vt:lpstr>
      <vt:lpstr>Results!Print_Area</vt:lpstr>
      <vt:lpstr>Standard_Dev</vt:lpstr>
      <vt:lpstr>Start_Date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Alfredo J Calzadilla</dc:creator>
  <cp:lastModifiedBy>Alfredo J Calzadilla</cp:lastModifiedBy>
  <cp:lastPrinted>2020-06-16T20:31:17Z</cp:lastPrinted>
  <dcterms:created xsi:type="dcterms:W3CDTF">2020-06-16T14:27:17Z</dcterms:created>
  <dcterms:modified xsi:type="dcterms:W3CDTF">2020-06-17T14:04:54Z</dcterms:modified>
</cp:coreProperties>
</file>